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àn tỉnh" sheetId="1" r:id="rId5"/>
    <sheet state="hidden" name="Tiểu học (chị Ngọc Anh)" sheetId="2" r:id="rId6"/>
    <sheet state="hidden" name="THCS (Dương)" sheetId="3" r:id="rId7"/>
    <sheet state="hidden" name="THPT+GDTX (Nhi)" sheetId="4" r:id="rId8"/>
    <sheet state="hidden" name="nháp" sheetId="5" r:id="rId9"/>
    <sheet state="hidden" name="thống kê xãphường Tiểu học" sheetId="6" r:id="rId10"/>
  </sheets>
  <definedNames>
    <definedName hidden="1" localSheetId="0" name="_xlnm._FilterDatabase">'Toàn tỉnh'!$A$1:$AA$1450</definedName>
    <definedName hidden="1" localSheetId="3" name="_xlnm._FilterDatabase">'THPT+GDTX (Nhi)'!$A$2:$Z$150</definedName>
    <definedName hidden="1" localSheetId="4" name="_xlnm._FilterDatabase">'nháp'!$A$1:$Z$1450</definedName>
  </definedNames>
  <calcPr/>
</workbook>
</file>

<file path=xl/sharedStrings.xml><?xml version="1.0" encoding="utf-8"?>
<sst xmlns="http://schemas.openxmlformats.org/spreadsheetml/2006/main" count="13066" uniqueCount="4092">
  <si>
    <t>Tên trường</t>
  </si>
  <si>
    <r>
      <rPr>
        <rFont val="Times New Roman"/>
        <sz val="12.0"/>
      </rPr>
      <t xml:space="preserve">CSDL ngành: </t>
    </r>
    <r>
      <rPr>
        <rFont val="Times New Roman"/>
        <color rgb="FF1155CC"/>
        <sz val="12.0"/>
        <u/>
      </rPr>
      <t>https://csdl.moet.gov.vn/</t>
    </r>
  </si>
  <si>
    <t>ID</t>
  </si>
  <si>
    <t>STT</t>
  </si>
  <si>
    <t>Trường Tiểu học, THCS&amp;THPT Nobel School V</t>
  </si>
  <si>
    <t>3800000002</t>
  </si>
  <si>
    <t>XÃ/PHƯỜNG</t>
  </si>
  <si>
    <t>Xã Thiệu Hóa</t>
  </si>
  <si>
    <t>Trường TH, THCS&amp;THPT Delta</t>
  </si>
  <si>
    <t>3800000010</t>
  </si>
  <si>
    <t>Xã Hoằng Hóa</t>
  </si>
  <si>
    <t>Trường TH, THCS&amp;THPT Hồng Đức</t>
  </si>
  <si>
    <t>3800004002</t>
  </si>
  <si>
    <t>Phường Hạc Thành</t>
  </si>
  <si>
    <t>Xã/phường</t>
  </si>
  <si>
    <t>Trường TH, THCS và THPT Nobel School II</t>
  </si>
  <si>
    <t>3800004003</t>
  </si>
  <si>
    <t>Phường Đông Sơn</t>
  </si>
  <si>
    <t>Lớp</t>
  </si>
  <si>
    <t>Trường TH, THCS&amp;THPT Nobel School III</t>
  </si>
  <si>
    <t>3800004004</t>
  </si>
  <si>
    <t>Xã Lưu Vệ</t>
  </si>
  <si>
    <t>Trường TH, THCS&amp;THPT FPT</t>
  </si>
  <si>
    <t>3800004005</t>
  </si>
  <si>
    <t>Phường Quảng Phú</t>
  </si>
  <si>
    <t>Trường Phổ thông Nguyễn Mộng Tuân</t>
  </si>
  <si>
    <t>38000765</t>
  </si>
  <si>
    <t>Trường Tiểu học Hà Lan</t>
  </si>
  <si>
    <t>Trường THCS&amp;THPT Thống nhất</t>
  </si>
  <si>
    <t>38381402</t>
  </si>
  <si>
    <t>38000766</t>
  </si>
  <si>
    <t>Phường Bỉm Sơn</t>
  </si>
  <si>
    <t>Xã Yên Phú</t>
  </si>
  <si>
    <t>Trường Tiểu học Lam Sơn 3</t>
  </si>
  <si>
    <t>38381403</t>
  </si>
  <si>
    <t>Trường THCS&amp;THPT Bá Thước</t>
  </si>
  <si>
    <t>38000794</t>
  </si>
  <si>
    <t>Trường Tiểu học Ba Đình</t>
  </si>
  <si>
    <t>Xã Pù Luông</t>
  </si>
  <si>
    <t>38381404</t>
  </si>
  <si>
    <t>Toàn tỉnh</t>
  </si>
  <si>
    <t>Trường Tiểu học Lam Sơn 1</t>
  </si>
  <si>
    <t>Trường THCS&amp;THPT Nghi Sơn</t>
  </si>
  <si>
    <t>38381405</t>
  </si>
  <si>
    <t>38000801</t>
  </si>
  <si>
    <t>Phường Nghi Sơn</t>
  </si>
  <si>
    <t>Trường Tiểu học Đông Sơn</t>
  </si>
  <si>
    <t>38381408</t>
  </si>
  <si>
    <t>Trường THCS&amp;THPT Quan Sơn</t>
  </si>
  <si>
    <t>Trường tiểu học Hà Vinh</t>
  </si>
  <si>
    <t>38000847</t>
  </si>
  <si>
    <t>38392410</t>
  </si>
  <si>
    <t>Xã Mường Mìn</t>
  </si>
  <si>
    <t>Trường Tiểu học Nguyên Bình</t>
  </si>
  <si>
    <t>38407412</t>
  </si>
  <si>
    <t>Trường Phổ thông Triệu Sơn</t>
  </si>
  <si>
    <t>Phường Đào Duy Từ</t>
  </si>
  <si>
    <t>38000854</t>
  </si>
  <si>
    <t>Xã Triệu Sơn</t>
  </si>
  <si>
    <t>Trường THCS&amp;THPT Như Thanh</t>
  </si>
  <si>
    <t>Trường Tiểu học Xuân Lâm</t>
  </si>
  <si>
    <t>38407414</t>
  </si>
  <si>
    <t>38000064</t>
  </si>
  <si>
    <t>Xã Xuân Du</t>
  </si>
  <si>
    <t>Trường TH&amp;THCS Hải Yến</t>
  </si>
  <si>
    <t>Trường THCS&amp;THPT Như Xuân</t>
  </si>
  <si>
    <t>38000065</t>
  </si>
  <si>
    <t>Xã Thanh Quân</t>
  </si>
  <si>
    <t>38407535</t>
  </si>
  <si>
    <t>Trường TH, THCS&amp;THPT Vinschool Star City</t>
  </si>
  <si>
    <t>Trường Tiểu học Quảng Thắng</t>
  </si>
  <si>
    <t>3838003001</t>
  </si>
  <si>
    <t>38380401</t>
  </si>
  <si>
    <t>Phường Đông Quang</t>
  </si>
  <si>
    <t>Trường TH, THCS&amp;THPT Nobel</t>
  </si>
  <si>
    <t>38380522</t>
  </si>
  <si>
    <t>Trường TH, THCS&amp;THPT Đông Bắc Ga</t>
  </si>
  <si>
    <t>38380426</t>
  </si>
  <si>
    <t>Trường Tiểu học Đông Hưng</t>
  </si>
  <si>
    <t>38405406</t>
  </si>
  <si>
    <t>Trường TH, THCS&amp;THPT Fansipan</t>
  </si>
  <si>
    <t>Trường Tiểu học Đông Văn</t>
  </si>
  <si>
    <t>38380429</t>
  </si>
  <si>
    <t>38405417</t>
  </si>
  <si>
    <t>GV tự điền</t>
  </si>
  <si>
    <t>Trường Tiểu học Đông Quang</t>
  </si>
  <si>
    <t>38405419</t>
  </si>
  <si>
    <t>Trường TH, THCS&amp;THPT QTHSCHOOL</t>
  </si>
  <si>
    <t>Trường THPT Bỉm Sơn</t>
  </si>
  <si>
    <t>38380430</t>
  </si>
  <si>
    <t>Trường TH&amp;THCS Đông Vinh</t>
  </si>
  <si>
    <t>38405503</t>
  </si>
  <si>
    <t>Trường THCS Minh Khai</t>
  </si>
  <si>
    <t>Trường TH&amp;THCS Đông Nam</t>
  </si>
  <si>
    <t>38380501</t>
  </si>
  <si>
    <t>38405508</t>
  </si>
  <si>
    <t>Trường TH&amp;THCS Đông Yên</t>
  </si>
  <si>
    <t>Trường THCS Đông Cương</t>
  </si>
  <si>
    <t>38405518</t>
  </si>
  <si>
    <t>38380502</t>
  </si>
  <si>
    <t>Phường Hàm Rồng</t>
  </si>
  <si>
    <t>Trường TH&amp;THCS Đông Phú</t>
  </si>
  <si>
    <t>38405520</t>
  </si>
  <si>
    <t>Trường Tiểu học Đông Tân</t>
  </si>
  <si>
    <t>38405407</t>
  </si>
  <si>
    <t>Trường tiểu học Đông Ninh</t>
  </si>
  <si>
    <t>38405418</t>
  </si>
  <si>
    <t>Trường THCS Quảng Thành</t>
  </si>
  <si>
    <t>38380503</t>
  </si>
  <si>
    <t>Tiểu học Hà Lan</t>
  </si>
  <si>
    <t>Tiểu học Lê Thế Long</t>
  </si>
  <si>
    <t>38405422</t>
  </si>
  <si>
    <t>Trường TH&amp;THCS Đông Minh</t>
  </si>
  <si>
    <t>Trường THCS Quảng Hưng</t>
  </si>
  <si>
    <t>38405505</t>
  </si>
  <si>
    <t>38380504</t>
  </si>
  <si>
    <t>Trường TH&amp;THCS Đông Hoàng</t>
  </si>
  <si>
    <t>38405506</t>
  </si>
  <si>
    <t>Trường THCS Lý Tự Trọng</t>
  </si>
  <si>
    <t>Trường TH&amp;THCS Đông Khê</t>
  </si>
  <si>
    <t>38380505</t>
  </si>
  <si>
    <t>38405509</t>
  </si>
  <si>
    <t>Trường TH&amp;THCS Đông Thịnh</t>
  </si>
  <si>
    <t>38405513</t>
  </si>
  <si>
    <t>Tiểu học Lam Sơn 3</t>
  </si>
  <si>
    <t>Trường THCS Trần Mai Ninh</t>
  </si>
  <si>
    <t>38380506</t>
  </si>
  <si>
    <t>Trường TH&amp;THCS Đông Anh</t>
  </si>
  <si>
    <t>38405514</t>
  </si>
  <si>
    <t>Trường TH&amp;THCS Đông Hòa</t>
  </si>
  <si>
    <t>38405517</t>
  </si>
  <si>
    <t>Trường THCS Đông Hải</t>
  </si>
  <si>
    <t>38380507</t>
  </si>
  <si>
    <t>Trường TH&amp;THCS Thiệu Châu</t>
  </si>
  <si>
    <t>38398426</t>
  </si>
  <si>
    <t>Phường Đông Tiến</t>
  </si>
  <si>
    <t>Trường Tiểu học Thiệu Khánh</t>
  </si>
  <si>
    <t>Trường THCS Đông Hương</t>
  </si>
  <si>
    <t>38398429</t>
  </si>
  <si>
    <t>38380508</t>
  </si>
  <si>
    <t>Trường TH &amp; THCS Thiệu Tân</t>
  </si>
  <si>
    <t>38398527</t>
  </si>
  <si>
    <t>Trường THCS Hàm Rồng</t>
  </si>
  <si>
    <t>Trường THamp;THCS Thiệu Vân</t>
  </si>
  <si>
    <t>38380509</t>
  </si>
  <si>
    <t>38398528</t>
  </si>
  <si>
    <t>Trường TH&amp;THCS Thiệu Giao</t>
  </si>
  <si>
    <t>38398729</t>
  </si>
  <si>
    <t>Trường THCS Nam Ngạn</t>
  </si>
  <si>
    <t>38380510</t>
  </si>
  <si>
    <t>Trường Tiểu học Đông Lĩnh</t>
  </si>
  <si>
    <t>38405404</t>
  </si>
  <si>
    <t>Trường Tiểu học Đông Tiến</t>
  </si>
  <si>
    <t>Trường THCS Đông Thọ</t>
  </si>
  <si>
    <t>38405450</t>
  </si>
  <si>
    <t>38380511</t>
  </si>
  <si>
    <t>Trường TH&amp;THCS Đông Thanh</t>
  </si>
  <si>
    <t>38405501</t>
  </si>
  <si>
    <t>Trường THCS Cù Chính Lan</t>
  </si>
  <si>
    <t>38380512</t>
  </si>
  <si>
    <t>Trường Tiểu học Vietkids</t>
  </si>
  <si>
    <t>3838002001</t>
  </si>
  <si>
    <t>Trường THCS Điện Biên</t>
  </si>
  <si>
    <t>38380513</t>
  </si>
  <si>
    <t>Trường THCS Tân Sơn</t>
  </si>
  <si>
    <t>Trường Tiểu học Đông Vệ 1</t>
  </si>
  <si>
    <t>38380514</t>
  </si>
  <si>
    <t>38380402</t>
  </si>
  <si>
    <t>Trường Tiểu học Đông Vệ 2</t>
  </si>
  <si>
    <t>38380403</t>
  </si>
  <si>
    <t>Trường THCS Trần Phú</t>
  </si>
  <si>
    <t>38380515</t>
  </si>
  <si>
    <t>Trường Tiểu học Nguyễn Văn Trỗi</t>
  </si>
  <si>
    <t>38380404</t>
  </si>
  <si>
    <t>Trường THCS Quang Trung</t>
  </si>
  <si>
    <t>38380516</t>
  </si>
  <si>
    <t>38380405</t>
  </si>
  <si>
    <t>Trường Tiểu học Lê Văn Tám</t>
  </si>
  <si>
    <t>Trường THCS Nguyễn Văn Trỗi</t>
  </si>
  <si>
    <t>38380406</t>
  </si>
  <si>
    <t>38380517</t>
  </si>
  <si>
    <t>Trường Tiểu học Tân Sơn</t>
  </si>
  <si>
    <t>38380407</t>
  </si>
  <si>
    <t>Trường THCS Lê Lợi</t>
  </si>
  <si>
    <t>38380518</t>
  </si>
  <si>
    <t>Trường Tiểu học Trần Phú</t>
  </si>
  <si>
    <t>38380408</t>
  </si>
  <si>
    <t>Trường Tiểu học Hoàng Hoa Thám</t>
  </si>
  <si>
    <t>Trường THCS Quảng Thắng</t>
  </si>
  <si>
    <t>38380409</t>
  </si>
  <si>
    <t>38380519</t>
  </si>
  <si>
    <t>Trường Tiểu học Điện Biên 1</t>
  </si>
  <si>
    <t>38380410</t>
  </si>
  <si>
    <t>Trường TH&amp;THCS Newton TH</t>
  </si>
  <si>
    <t>38380520</t>
  </si>
  <si>
    <t>Trường Tiểu học Điện Biên 2</t>
  </si>
  <si>
    <t>38380411</t>
  </si>
  <si>
    <t>Trường Tiểu học Đông Thọ</t>
  </si>
  <si>
    <t>38380415</t>
  </si>
  <si>
    <t>Trường Tiểu học Đông Hương</t>
  </si>
  <si>
    <t>38380417</t>
  </si>
  <si>
    <t>Trường TH&amp;THCS Quang Trung</t>
  </si>
  <si>
    <t>38381401</t>
  </si>
  <si>
    <t>Phường Quang Trung</t>
  </si>
  <si>
    <t>Trường Tiểu học Đông Hải 1</t>
  </si>
  <si>
    <t>38380418</t>
  </si>
  <si>
    <t>Trường TH và THCS Phú Sơn</t>
  </si>
  <si>
    <t>Trường Tiểu học Đông Hải 2</t>
  </si>
  <si>
    <t>38381501</t>
  </si>
  <si>
    <t>38380419</t>
  </si>
  <si>
    <t>Trường Tiểu học Lý Tự Trọng</t>
  </si>
  <si>
    <t>38380420</t>
  </si>
  <si>
    <t>Trường THCS Hà Lan</t>
  </si>
  <si>
    <t>38381502</t>
  </si>
  <si>
    <t>Trường Tiểu học Minh Khai 1</t>
  </si>
  <si>
    <t>38380424</t>
  </si>
  <si>
    <t>Trường Tiểu học Minh Khai 2</t>
  </si>
  <si>
    <t>Trường THCS Ba Đình</t>
  </si>
  <si>
    <t>38380425</t>
  </si>
  <si>
    <t>38381503</t>
  </si>
  <si>
    <t>Trường THCS Lê Quý Đôn</t>
  </si>
  <si>
    <t>38381504</t>
  </si>
  <si>
    <t>Trường Tiểu học Tân Phú Khang</t>
  </si>
  <si>
    <t>38380428</t>
  </si>
  <si>
    <t>Trường THCS Ngọc Trạo</t>
  </si>
  <si>
    <t>38381505</t>
  </si>
  <si>
    <t>Trường THCS Bắc Sơn</t>
  </si>
  <si>
    <t>38381506</t>
  </si>
  <si>
    <t>Trường Tiểu học Tĩnh Hải</t>
  </si>
  <si>
    <t>38407420</t>
  </si>
  <si>
    <t>Trường THCS Xi Măng</t>
  </si>
  <si>
    <t>Phường Hải Bình</t>
  </si>
  <si>
    <t>38381507</t>
  </si>
  <si>
    <t>Trường Tiểu học Hải Bình</t>
  </si>
  <si>
    <t>38407421</t>
  </si>
  <si>
    <t>Trường THCS Trường Sơn</t>
  </si>
  <si>
    <t>38382501</t>
  </si>
  <si>
    <t>Trường Tiểu học Mai Lâm</t>
  </si>
  <si>
    <t>Phường Sầm Sơn</t>
  </si>
  <si>
    <t>38407429</t>
  </si>
  <si>
    <t>Trường THamp;THCS Queensland</t>
  </si>
  <si>
    <t>Trường THCS Bắc Sơn Sầm Sơn</t>
  </si>
  <si>
    <t>38407525</t>
  </si>
  <si>
    <t>38382502</t>
  </si>
  <si>
    <t>Trường Tiểu học Ninh Hải</t>
  </si>
  <si>
    <t>38407416</t>
  </si>
  <si>
    <t>Phường Hải Lĩnh</t>
  </si>
  <si>
    <t>Trường THCS Trung Sơn</t>
  </si>
  <si>
    <t>38382503</t>
  </si>
  <si>
    <t>Trường Tiểu học Hải Lĩnh</t>
  </si>
  <si>
    <t>38407431</t>
  </si>
  <si>
    <t>Trường THCS Quảng Tiến</t>
  </si>
  <si>
    <t>38382504</t>
  </si>
  <si>
    <t>Trường TH amp; THCS Định Hải</t>
  </si>
  <si>
    <t>Trường THCS Quảng Cư</t>
  </si>
  <si>
    <t>38382505</t>
  </si>
  <si>
    <t>38407512</t>
  </si>
  <si>
    <t>Trường Tiểu học Nam Ngạn</t>
  </si>
  <si>
    <t>Trường THCS Nguyễn Hồng Lễ</t>
  </si>
  <si>
    <t>38380413</t>
  </si>
  <si>
    <t>38382506</t>
  </si>
  <si>
    <t>38000737</t>
  </si>
  <si>
    <t>Trường Tiểu học Nguyễn Bá Ngọc</t>
  </si>
  <si>
    <t>38380414</t>
  </si>
  <si>
    <t>Trường TH và THCS Mường Lát</t>
  </si>
  <si>
    <t>38384411</t>
  </si>
  <si>
    <t>Trường Tiểu học Hàm Rồng</t>
  </si>
  <si>
    <t>38380416</t>
  </si>
  <si>
    <t>Xã Mường Lát</t>
  </si>
  <si>
    <t>Trường Tiểu học Đông Cương</t>
  </si>
  <si>
    <t>38380421</t>
  </si>
  <si>
    <t>Trường PTDTBT THCS Pù Nhi</t>
  </si>
  <si>
    <t>38384501</t>
  </si>
  <si>
    <t>Xã Pù Nhi</t>
  </si>
  <si>
    <t>Trường Tiểu học Thiệu Dương</t>
  </si>
  <si>
    <t>38398431</t>
  </si>
  <si>
    <t>Trường THPT Lê Hồng Phong</t>
  </si>
  <si>
    <t>Trường phổ thông DTBT THCS Tam Chung</t>
  </si>
  <si>
    <t>Trường Tiểu học Quảng Minh</t>
  </si>
  <si>
    <t>38000761</t>
  </si>
  <si>
    <t>38384502</t>
  </si>
  <si>
    <t>38382411</t>
  </si>
  <si>
    <t>Xã Tam Chung</t>
  </si>
  <si>
    <t>Phường Nam Sầm Sơn</t>
  </si>
  <si>
    <t>Trường Tiểu học Quảng Vinh</t>
  </si>
  <si>
    <t>38406403</t>
  </si>
  <si>
    <t>Trường THCS Tén Tằn</t>
  </si>
  <si>
    <t>Trường Trung Cấp Nghề Bỉm sơn</t>
  </si>
  <si>
    <t>38384503</t>
  </si>
  <si>
    <t>Trường Tiểu học Quảng Hùng</t>
  </si>
  <si>
    <t>38000930</t>
  </si>
  <si>
    <t>38406408</t>
  </si>
  <si>
    <t>Trường THCS Quang Chiểu</t>
  </si>
  <si>
    <t>Trường Tiểu học Quảng Đại</t>
  </si>
  <si>
    <t>38384504</t>
  </si>
  <si>
    <t>38406412</t>
  </si>
  <si>
    <t>Xã Quang Chiểu</t>
  </si>
  <si>
    <t>Trường TH&amp;THCS Nguyễn Xuân Nguyên</t>
  </si>
  <si>
    <t>38406509</t>
  </si>
  <si>
    <t>Trường THCS Mường Chanh</t>
  </si>
  <si>
    <t>38384505</t>
  </si>
  <si>
    <t>Trường THPT Đông Sơn 2</t>
  </si>
  <si>
    <t>Xã Mường Chanh</t>
  </si>
  <si>
    <t>Trường Tiểu Học Hải Hà</t>
  </si>
  <si>
    <t>38000779</t>
  </si>
  <si>
    <t>38407418</t>
  </si>
  <si>
    <t>Trường PT DTBT THCS Trung Lý</t>
  </si>
  <si>
    <t>Trường Tiểu học Nghi Sơn</t>
  </si>
  <si>
    <t>38384506</t>
  </si>
  <si>
    <t>38407419</t>
  </si>
  <si>
    <t>Xã Trung Lý</t>
  </si>
  <si>
    <t>Trường Tiểu học Hải Thượng</t>
  </si>
  <si>
    <t>38407430</t>
  </si>
  <si>
    <t>Trường PTDT Bán Trú THCS Mường Lý</t>
  </si>
  <si>
    <t>38384508</t>
  </si>
  <si>
    <t>Trung tâm GDNN-GDTX số 1</t>
  </si>
  <si>
    <t>Trường Tiểu học Thanh Sơn</t>
  </si>
  <si>
    <t>38000901</t>
  </si>
  <si>
    <t>Xã Mường Lý</t>
  </si>
  <si>
    <t>38407403</t>
  </si>
  <si>
    <t>Phường Ngọc Sơn</t>
  </si>
  <si>
    <t>Trường Tiểu học Hải Châu</t>
  </si>
  <si>
    <t>Trường THCS Nhi Sơn</t>
  </si>
  <si>
    <t>38407404</t>
  </si>
  <si>
    <t>38384509</t>
  </si>
  <si>
    <t>Xã Nhi Sơn</t>
  </si>
  <si>
    <t>Trường Tiểu học Hải Ninh</t>
  </si>
  <si>
    <t>38407406</t>
  </si>
  <si>
    <t>Trường PT DTNT THCS Mường Lát</t>
  </si>
  <si>
    <t>Trường THPT Đông Sơn 1</t>
  </si>
  <si>
    <t>Trường Tiểu học Thanh Thuỷ</t>
  </si>
  <si>
    <t>38384007</t>
  </si>
  <si>
    <t>38407435</t>
  </si>
  <si>
    <t>38000714</t>
  </si>
  <si>
    <t>Trường TH&amp;THCS Triêu Dương</t>
  </si>
  <si>
    <t>38407534</t>
  </si>
  <si>
    <t>Trường THCS Thành Sơn</t>
  </si>
  <si>
    <t>38385501</t>
  </si>
  <si>
    <t>Xã Trung Thành</t>
  </si>
  <si>
    <t>Tiểu học Ba Đình</t>
  </si>
  <si>
    <t>Trường Tiểu học Tào Xuyên</t>
  </si>
  <si>
    <t>38399415</t>
  </si>
  <si>
    <t>Phường Nguyệt Viên</t>
  </si>
  <si>
    <t>Trường THCS Phú Thanh</t>
  </si>
  <si>
    <t>38385503</t>
  </si>
  <si>
    <t>Trường Tiểu học Hoằng Quang</t>
  </si>
  <si>
    <t>Xã Phú Lệ</t>
  </si>
  <si>
    <t>38399418</t>
  </si>
  <si>
    <t>Trường Tiểu học Hoằng Long</t>
  </si>
  <si>
    <t>Trường THCS Nam Tiến</t>
  </si>
  <si>
    <t>Trường THPT chuyên Lam Sơn</t>
  </si>
  <si>
    <t>38399419</t>
  </si>
  <si>
    <t>38385504</t>
  </si>
  <si>
    <t>38000701</t>
  </si>
  <si>
    <t>Xã Nam Xuân</t>
  </si>
  <si>
    <t>Trường Tiểu học Hoằng Anh</t>
  </si>
  <si>
    <t>38399420</t>
  </si>
  <si>
    <t>Trường THCS Hiền Kiệt</t>
  </si>
  <si>
    <t>Trường THPT Hàm Rồng</t>
  </si>
  <si>
    <t>Trường Tiểu học Hoằng Đại</t>
  </si>
  <si>
    <t>38385506</t>
  </si>
  <si>
    <t>38000702</t>
  </si>
  <si>
    <t>38399433</t>
  </si>
  <si>
    <t>Xã Hiền Kiệt</t>
  </si>
  <si>
    <t>Trường THCS Hiền Chung</t>
  </si>
  <si>
    <t>Trường THPT Đào Duy Từ</t>
  </si>
  <si>
    <t>Tiểu học Lam Sơn 1</t>
  </si>
  <si>
    <t>38385509</t>
  </si>
  <si>
    <t>38000703</t>
  </si>
  <si>
    <t>Trường Tiểu học Quảng Hưng</t>
  </si>
  <si>
    <t>38380422</t>
  </si>
  <si>
    <t>TRƯỜNG TIỂU HỌC QUẢNG THÀNH</t>
  </si>
  <si>
    <t>38380423</t>
  </si>
  <si>
    <t>Trường THCS Nam Động</t>
  </si>
  <si>
    <t>Trường THPT Tô Hiến Thành</t>
  </si>
  <si>
    <t>38385510</t>
  </si>
  <si>
    <t>38000705</t>
  </si>
  <si>
    <t>Trường Tiểu học Hermann Gmeiner</t>
  </si>
  <si>
    <t>Xã Thiên Phủ</t>
  </si>
  <si>
    <t>38380427</t>
  </si>
  <si>
    <t>Trường THPT Nguyễn Trãi</t>
  </si>
  <si>
    <t>Trường THCS Hồi Xuân</t>
  </si>
  <si>
    <t>38000762</t>
  </si>
  <si>
    <t>38385511</t>
  </si>
  <si>
    <t>Trường Tiểu học Quảng Phú</t>
  </si>
  <si>
    <t>38406404</t>
  </si>
  <si>
    <t>Xã Hồi Xuân</t>
  </si>
  <si>
    <t>Trường THPT Đào Duy Anh</t>
  </si>
  <si>
    <t>Trường Tiểu học Quảng Tâm</t>
  </si>
  <si>
    <t>Tiểu học Đông Sơn</t>
  </si>
  <si>
    <t>38000850</t>
  </si>
  <si>
    <t>38406405</t>
  </si>
  <si>
    <t>Trường THCS Nam Xuân</t>
  </si>
  <si>
    <t>Trường Tiểu học Quảng Cát</t>
  </si>
  <si>
    <t>38385512</t>
  </si>
  <si>
    <t>38406406</t>
  </si>
  <si>
    <t>Trường THPT Trường Thi</t>
  </si>
  <si>
    <t>Trường Tiểu học Quảng Thịnh</t>
  </si>
  <si>
    <t>38000851</t>
  </si>
  <si>
    <t>38406428</t>
  </si>
  <si>
    <t>Trường PT DTNT THCS Quan Hóa</t>
  </si>
  <si>
    <t>Trường Tiểu học Quảng Đông</t>
  </si>
  <si>
    <t>38406429</t>
  </si>
  <si>
    <t>38385513</t>
  </si>
  <si>
    <t>Trường THPT Lý Thường Kiệt</t>
  </si>
  <si>
    <t>38000853</t>
  </si>
  <si>
    <t>Trường THCS Quan Hoá</t>
  </si>
  <si>
    <t>Trường Tiểu học Ngọc Trạo</t>
  </si>
  <si>
    <t>38385514</t>
  </si>
  <si>
    <t>38381406</t>
  </si>
  <si>
    <t>Trường THPT Dân Tộc Nội Trú Thanh Hóa</t>
  </si>
  <si>
    <t>38000E60</t>
  </si>
  <si>
    <t>Tiểu học Hà Vinh</t>
  </si>
  <si>
    <t>Trường Tiểu học Bắc Sơn</t>
  </si>
  <si>
    <t>38381407</t>
  </si>
  <si>
    <t>Trường THCS Phú Sơn</t>
  </si>
  <si>
    <t>38385515</t>
  </si>
  <si>
    <t>Trường PT Dân Tộc Bán Trú THCS Phú Xuân</t>
  </si>
  <si>
    <t>Trường Tiểu học Darwin</t>
  </si>
  <si>
    <t>38385516</t>
  </si>
  <si>
    <t>3838202002</t>
  </si>
  <si>
    <t>Xã Phú Xuân</t>
  </si>
  <si>
    <t>Trường Tiểu học Trường Sơn</t>
  </si>
  <si>
    <t>38382401</t>
  </si>
  <si>
    <t>Trường THCS Trung Thành</t>
  </si>
  <si>
    <t>Tiểu học Nguyên Bình</t>
  </si>
  <si>
    <t>38385518</t>
  </si>
  <si>
    <t>Trường Tiểu học Bắc Sơn Sầm Sơn</t>
  </si>
  <si>
    <t>38382402</t>
  </si>
  <si>
    <t>Trường Tiểu học Trung Sơn 1</t>
  </si>
  <si>
    <t>38382403</t>
  </si>
  <si>
    <t>Trường Tiểu học Quảng Tiến 1</t>
  </si>
  <si>
    <t>38385519</t>
  </si>
  <si>
    <t>Trung tâm GDTX-KTTH Thanh Hóa</t>
  </si>
  <si>
    <t>38382404</t>
  </si>
  <si>
    <t>Xã Trung Sơn</t>
  </si>
  <si>
    <t>38000330</t>
  </si>
  <si>
    <t>Trường Tiểu học Quảng Cư</t>
  </si>
  <si>
    <t>38382405</t>
  </si>
  <si>
    <t>Trường THCS Thành Lâm</t>
  </si>
  <si>
    <t>38386501</t>
  </si>
  <si>
    <t>Trường Cao đẳng Kinh tế Kỹ Thuật Công thương</t>
  </si>
  <si>
    <t>Trường Tiểu học Quảng Tiến 2</t>
  </si>
  <si>
    <t>Tiểu học Xuân Lâm</t>
  </si>
  <si>
    <t>38382406</t>
  </si>
  <si>
    <t>Trường THCS Bùi Xuân Chúc</t>
  </si>
  <si>
    <t>38386502</t>
  </si>
  <si>
    <t>Trường Tiểu học Trung Sơn 2</t>
  </si>
  <si>
    <t>Xã Điền Quang</t>
  </si>
  <si>
    <t>38382407</t>
  </si>
  <si>
    <t>38000938</t>
  </si>
  <si>
    <t>Trường Tiểu học Quảng Châu</t>
  </si>
  <si>
    <t>38382408</t>
  </si>
  <si>
    <t>Trường THCS Văn Nho</t>
  </si>
  <si>
    <t>Trường Tiểu học Quảng Thọ</t>
  </si>
  <si>
    <t>38386503</t>
  </si>
  <si>
    <t>38382409</t>
  </si>
  <si>
    <t>Xã Văn Nho</t>
  </si>
  <si>
    <t>Trường Tiểu học Ngọc Lĩnh</t>
  </si>
  <si>
    <t>38407402</t>
  </si>
  <si>
    <t>Phường Tân Dân</t>
  </si>
  <si>
    <t>Trường THCS Điền Thượng</t>
  </si>
  <si>
    <t>Trường Tiểu học Tân Dân</t>
  </si>
  <si>
    <t>38386504</t>
  </si>
  <si>
    <t>38407407</t>
  </si>
  <si>
    <t>Trường Trung Cấp Nghề Kỹ Nghệ Thanh Hóa</t>
  </si>
  <si>
    <t>Trường Tiểu học Hải An</t>
  </si>
  <si>
    <t>38000940</t>
  </si>
  <si>
    <t>38407437</t>
  </si>
  <si>
    <t>TH&amp;THCS Hải Yến</t>
  </si>
  <si>
    <t>Trường THCS Lũng Cao</t>
  </si>
  <si>
    <t>Trường Tiểu học Hải Nhân</t>
  </si>
  <si>
    <t>38386506</t>
  </si>
  <si>
    <t>38407408</t>
  </si>
  <si>
    <t>Xã Cổ Lũng</t>
  </si>
  <si>
    <t>Phường Tĩnh Gia</t>
  </si>
  <si>
    <t>Trường THPT Tĩnh Gia 3</t>
  </si>
  <si>
    <t>38000727</t>
  </si>
  <si>
    <t>Trường Tiểu học Thị Trấn</t>
  </si>
  <si>
    <t>38407410</t>
  </si>
  <si>
    <t>Trường THCS Cổ Lũng</t>
  </si>
  <si>
    <t>38386507</t>
  </si>
  <si>
    <t>Trường Tiểu học Hải Hòa</t>
  </si>
  <si>
    <t>38407411</t>
  </si>
  <si>
    <t>Trường TC Công nghiệp Bách Khoa</t>
  </si>
  <si>
    <t>3800000001</t>
  </si>
  <si>
    <t>Trường Tiểu học Hải Thanh A</t>
  </si>
  <si>
    <t>38407422</t>
  </si>
  <si>
    <t>Trường THCS Kỳ Tân</t>
  </si>
  <si>
    <t>38386508</t>
  </si>
  <si>
    <t>Trường Tiểu học Bình Minh</t>
  </si>
  <si>
    <t>38407423</t>
  </si>
  <si>
    <t>Cao đẳng công nghiệp Thanh Hóa</t>
  </si>
  <si>
    <t>Tiểu học Quảng Thắng</t>
  </si>
  <si>
    <t>Trường Tiểu học Hải Thanh</t>
  </si>
  <si>
    <t>38000931</t>
  </si>
  <si>
    <t>Trường THCS Thiết Kế</t>
  </si>
  <si>
    <t>38407432</t>
  </si>
  <si>
    <t>38386509</t>
  </si>
  <si>
    <t>Xã Thiết Ống</t>
  </si>
  <si>
    <t>Trường TH&amp;THCS Lương Chí</t>
  </si>
  <si>
    <t>38407533</t>
  </si>
  <si>
    <t>Trường THPT Chu Văn An</t>
  </si>
  <si>
    <t>Trường Tiểu học Trúc Lâm</t>
  </si>
  <si>
    <t>Trường THCS Điền Trung</t>
  </si>
  <si>
    <t>38000712</t>
  </si>
  <si>
    <t>38407424</t>
  </si>
  <si>
    <t>38386510</t>
  </si>
  <si>
    <t>Phường Trúc Lâm</t>
  </si>
  <si>
    <t>Xã Điền Lư</t>
  </si>
  <si>
    <t>Trường Tiểu học Phú Sơn</t>
  </si>
  <si>
    <t>38407425</t>
  </si>
  <si>
    <t>Trường Tiểu học Tùng Lâm</t>
  </si>
  <si>
    <t>Trường THCS Lương Nội</t>
  </si>
  <si>
    <t>38407426</t>
  </si>
  <si>
    <t>38386512</t>
  </si>
  <si>
    <t>Xã Quý Lương</t>
  </si>
  <si>
    <t>Trường Tiểu học Phú Lâm</t>
  </si>
  <si>
    <t>38407427</t>
  </si>
  <si>
    <t>TH&amp;THCS&amp;THPT Nobel</t>
  </si>
  <si>
    <t>Trường Tiểu học Khuyến Nông</t>
  </si>
  <si>
    <t>Trường THPT Tĩnh Gia 2</t>
  </si>
  <si>
    <t>38397402</t>
  </si>
  <si>
    <t>38000726</t>
  </si>
  <si>
    <t>Xã An Nông</t>
  </si>
  <si>
    <t>Trường Tiểu học Tiến Nông</t>
  </si>
  <si>
    <t>38397408</t>
  </si>
  <si>
    <t>Trường Tiểu học An Nông</t>
  </si>
  <si>
    <t>Trường CĐ Bách Khoa Việt Nam</t>
  </si>
  <si>
    <t>38397422</t>
  </si>
  <si>
    <t>3800005001</t>
  </si>
  <si>
    <t>Trường THCS Ái Thượng</t>
  </si>
  <si>
    <t>38386513</t>
  </si>
  <si>
    <t>Trường Tiểu học Nông Trường</t>
  </si>
  <si>
    <t>38397430</t>
  </si>
  <si>
    <t>38401420</t>
  </si>
  <si>
    <t>Xã Ba Đình</t>
  </si>
  <si>
    <t>Tiểu học Đông Hưng</t>
  </si>
  <si>
    <t>Trường THPT Nguyễn Huệ</t>
  </si>
  <si>
    <t>Trường tiểu học Nga Trường</t>
  </si>
  <si>
    <t>38000848</t>
  </si>
  <si>
    <t>38401424</t>
  </si>
  <si>
    <t>Trường THCS Điền Hạ</t>
  </si>
  <si>
    <t>Trường Tiểu Học Nga Thiện</t>
  </si>
  <si>
    <t>38386514</t>
  </si>
  <si>
    <t>38401425</t>
  </si>
  <si>
    <t>Trường TH&amp;THCS Nga Vịnh</t>
  </si>
  <si>
    <t>38401504</t>
  </si>
  <si>
    <t>Trường THCS Tân Lập</t>
  </si>
  <si>
    <t>38386515</t>
  </si>
  <si>
    <t>Xã Bá Thước</t>
  </si>
  <si>
    <t>Trường Tiểu học Lâm Xa</t>
  </si>
  <si>
    <t>38386411</t>
  </si>
  <si>
    <t>Trường THCS Lương Ngoại</t>
  </si>
  <si>
    <t>Tiểu học Đông Văn</t>
  </si>
  <si>
    <t>Trường Tiểu học Tân Lập</t>
  </si>
  <si>
    <t>38386516</t>
  </si>
  <si>
    <t>Trường TC Nghề Thanh thiếu niên Khuyết tật đặc biệt khó khăn</t>
  </si>
  <si>
    <t>38386415</t>
  </si>
  <si>
    <t>3800005002</t>
  </si>
  <si>
    <t>Trường THCS Hạ Trung</t>
  </si>
  <si>
    <t>Trường TC Công nghệ và Y dược miền Trung</t>
  </si>
  <si>
    <t>Trường Tiểu học Hạ Trung</t>
  </si>
  <si>
    <t>3800005003</t>
  </si>
  <si>
    <t>38386518</t>
  </si>
  <si>
    <t>38386418</t>
  </si>
  <si>
    <t>Trường CĐ Nghề số 4 - Bộ Quốc phòng</t>
  </si>
  <si>
    <t>3800005004</t>
  </si>
  <si>
    <t>Trường Tiểu học Cành Nàng</t>
  </si>
  <si>
    <t>Trường THCS Lương Trung</t>
  </si>
  <si>
    <t>38386420</t>
  </si>
  <si>
    <t>38386519</t>
  </si>
  <si>
    <t>Trường TC Thương Mại Du Lịch Thanh Hóa</t>
  </si>
  <si>
    <t>3800005005</t>
  </si>
  <si>
    <t>Trường Tiểu học Ban Công</t>
  </si>
  <si>
    <t>Tiểu học Đông Quang</t>
  </si>
  <si>
    <t>38386423</t>
  </si>
  <si>
    <t>Trường THPT Sầm Sơn</t>
  </si>
  <si>
    <t>Trường THCS Điền Lư</t>
  </si>
  <si>
    <t>38000738</t>
  </si>
  <si>
    <t>38386520</t>
  </si>
  <si>
    <t>Trường Tiểu học Bát Mọt 2</t>
  </si>
  <si>
    <t>Trường THPT Nguyễn Thị Lợi</t>
  </si>
  <si>
    <t>38396405</t>
  </si>
  <si>
    <t>38000773</t>
  </si>
  <si>
    <t>Xã Bát Mọt</t>
  </si>
  <si>
    <t>Trường THCS Ban Công</t>
  </si>
  <si>
    <t>38386521</t>
  </si>
  <si>
    <t>Trung tâm GDNN-GDTX Sầm Sơn</t>
  </si>
  <si>
    <t>Trường Tiểu học Bát Mọt 1</t>
  </si>
  <si>
    <t>38000903</t>
  </si>
  <si>
    <t>38396407</t>
  </si>
  <si>
    <t>Trường THCS Thiết Ống</t>
  </si>
  <si>
    <t>Trường tiểu học Vĩnh An</t>
  </si>
  <si>
    <t>38386522</t>
  </si>
  <si>
    <t>Trường THPT Tĩnh Gia 4</t>
  </si>
  <si>
    <t>38393401</t>
  </si>
  <si>
    <t>38000791</t>
  </si>
  <si>
    <t>Trường TH&amp;THCS Thành Sơn</t>
  </si>
  <si>
    <t>TH&amp;THCS Đông Vinh</t>
  </si>
  <si>
    <t>38386524</t>
  </si>
  <si>
    <t>Trường THPT Tĩnh Gia 1</t>
  </si>
  <si>
    <t>38000725</t>
  </si>
  <si>
    <t>Trường THCS Cành Nàng</t>
  </si>
  <si>
    <t>38386525</t>
  </si>
  <si>
    <t>Trung tâm GDNN-GDTX Nghi Sơn</t>
  </si>
  <si>
    <t>38000927</t>
  </si>
  <si>
    <t>Trường THCS Lâm Xa</t>
  </si>
  <si>
    <t>38386526</t>
  </si>
  <si>
    <t>Trường CĐ nghề Nghi Sơn</t>
  </si>
  <si>
    <t>38000939</t>
  </si>
  <si>
    <t>Trường TH&amp;THCS Cao Sơn</t>
  </si>
  <si>
    <t>38386601</t>
  </si>
  <si>
    <t>Trường THPT Bá Thước</t>
  </si>
  <si>
    <t>TH&amp;THCS Đông Nam</t>
  </si>
  <si>
    <t>38000748</t>
  </si>
  <si>
    <t>Trường phổ thông DTNT THCS Bá Thước</t>
  </si>
  <si>
    <t>383860023</t>
  </si>
  <si>
    <t>Trường THamp;THCS Sơn Lư</t>
  </si>
  <si>
    <t>Xã Biện Thượng</t>
  </si>
  <si>
    <t>38387415</t>
  </si>
  <si>
    <t>Xã Quan Sơn</t>
  </si>
  <si>
    <t>Trung tâm GDNN-GDTX Bá Thước</t>
  </si>
  <si>
    <t>Trường tiểu học Vĩnh Thịnh</t>
  </si>
  <si>
    <t>38000907</t>
  </si>
  <si>
    <t>38393402</t>
  </si>
  <si>
    <t>Trường TH amp; THCS Trung Xuân</t>
  </si>
  <si>
    <t>38387501</t>
  </si>
  <si>
    <t>Xã Trung Hạ</t>
  </si>
  <si>
    <t>Trường Tiểu học Vĩnh Minh</t>
  </si>
  <si>
    <t>Trường THPT Tống Duy Tân</t>
  </si>
  <si>
    <t>38393403</t>
  </si>
  <si>
    <t>TH&amp;THCS Đông Yên</t>
  </si>
  <si>
    <t>38000744</t>
  </si>
  <si>
    <t>Trường THCS Trung Hạ</t>
  </si>
  <si>
    <t>38387502</t>
  </si>
  <si>
    <t>Trường tiểu học Vĩnh Hùng</t>
  </si>
  <si>
    <t>38393405</t>
  </si>
  <si>
    <t>Trường THPT Cẩm Thuỷ 2</t>
  </si>
  <si>
    <t>38000759</t>
  </si>
  <si>
    <t>Trường THCS Trung Thượng</t>
  </si>
  <si>
    <t>Trường TH&amp;THCS Vĩnh Tân</t>
  </si>
  <si>
    <t>Xã Cẩm Tân</t>
  </si>
  <si>
    <t>38387503</t>
  </si>
  <si>
    <t>38393516</t>
  </si>
  <si>
    <t>Trường Tiểu học Các Sơn A</t>
  </si>
  <si>
    <t>Trường THPT Cẩm Thuỷ 3</t>
  </si>
  <si>
    <t>38407401</t>
  </si>
  <si>
    <t>Trường THCS Sơn Lư</t>
  </si>
  <si>
    <t>38000760</t>
  </si>
  <si>
    <t>Xã Các Sơn</t>
  </si>
  <si>
    <t>38387504</t>
  </si>
  <si>
    <t>Xã Cẩm Thạch</t>
  </si>
  <si>
    <t>TH&amp;THCS Đông Phú</t>
  </si>
  <si>
    <t>Trường Tiểu học Anh Sơn</t>
  </si>
  <si>
    <t>38407433</t>
  </si>
  <si>
    <t>Trường THPT Cẩm Thủy 1</t>
  </si>
  <si>
    <t>Trường THCS Sơn Hà</t>
  </si>
  <si>
    <t>38000758</t>
  </si>
  <si>
    <t>38387505</t>
  </si>
  <si>
    <t>Trường Tiểu học Hùng Sơn</t>
  </si>
  <si>
    <t>Xã Tam Lư</t>
  </si>
  <si>
    <t>38407434</t>
  </si>
  <si>
    <t>Xã Cẩm Thủy</t>
  </si>
  <si>
    <t>Trường THCS Tam Lư</t>
  </si>
  <si>
    <t>Trường Tiểu học Các Sơn B</t>
  </si>
  <si>
    <t>Trung tâm GDNN-GDTX Cẩm Thủy</t>
  </si>
  <si>
    <t>38387506</t>
  </si>
  <si>
    <t>38407439</t>
  </si>
  <si>
    <t>38000908</t>
  </si>
  <si>
    <t>Trường tiểu học Cẩm Tân</t>
  </si>
  <si>
    <t>Trường THCS Tam Thanh</t>
  </si>
  <si>
    <t>38390407</t>
  </si>
  <si>
    <t>38387507</t>
  </si>
  <si>
    <t>Trường THPT Nông Cống 3</t>
  </si>
  <si>
    <t>Xã Tam Thanh</t>
  </si>
  <si>
    <t>38000723</t>
  </si>
  <si>
    <t>TH&amp;THCS&amp;THPT Nobel School II</t>
  </si>
  <si>
    <t>Trường Tiểu học Cẩm Long</t>
  </si>
  <si>
    <t>Xã Công Chính</t>
  </si>
  <si>
    <t>38390419</t>
  </si>
  <si>
    <t>Trường THCS Sơn Điện</t>
  </si>
  <si>
    <t>38387508</t>
  </si>
  <si>
    <t>Trường THPT Hà Văn Mao</t>
  </si>
  <si>
    <t>Xã Sơn Điện</t>
  </si>
  <si>
    <t>Trường Tiểu học Cẩm Phú</t>
  </si>
  <si>
    <t>38000749</t>
  </si>
  <si>
    <t>38390423</t>
  </si>
  <si>
    <t>Trường PT DTBT THCS Sơn Thủy</t>
  </si>
  <si>
    <t>Trường TH&amp;THCS Cẩm Liên</t>
  </si>
  <si>
    <t>38387509</t>
  </si>
  <si>
    <t>38390409</t>
  </si>
  <si>
    <t>Trường THPT Triệu Sơn 5</t>
  </si>
  <si>
    <t>Xã Sơn Thủy</t>
  </si>
  <si>
    <t>38000770</t>
  </si>
  <si>
    <t>Xã Đồng Tiến</t>
  </si>
  <si>
    <t>Trường tiểu học Cẩm Thành</t>
  </si>
  <si>
    <t>Trường PTDT Nội Trú THCS Quan Sơn</t>
  </si>
  <si>
    <t>38390410</t>
  </si>
  <si>
    <t>38387510</t>
  </si>
  <si>
    <t>Trường THPT Hoàng Lê Kha</t>
  </si>
  <si>
    <t>38000734</t>
  </si>
  <si>
    <t>Tiểu học Đông Tân</t>
  </si>
  <si>
    <t>Xã Hà Trung</t>
  </si>
  <si>
    <t>Trường tiểu học Cẩm Thạch</t>
  </si>
  <si>
    <t>38390414</t>
  </si>
  <si>
    <t>Trường PTDTBT THCS Na Mèo</t>
  </si>
  <si>
    <t>Trung Tâm GDNN-GDTX Hà Trung</t>
  </si>
  <si>
    <t>38000916</t>
  </si>
  <si>
    <t>38387512</t>
  </si>
  <si>
    <t>Xã Na Mèo</t>
  </si>
  <si>
    <t>Trường tiểu học Cẩm Bình 1</t>
  </si>
  <si>
    <t>Trường THPT Hậu Lộc 2</t>
  </si>
  <si>
    <t>38390417</t>
  </si>
  <si>
    <t>38000732</t>
  </si>
  <si>
    <t>Trường THCS Trung Tiến</t>
  </si>
  <si>
    <t>Xã Hậu Lộc</t>
  </si>
  <si>
    <t>38387513</t>
  </si>
  <si>
    <t>Trường tiểu học Cẩm Bình 3</t>
  </si>
  <si>
    <t>Trung tâm GDNN-GDTX Hậu Lộc</t>
  </si>
  <si>
    <t>38000920</t>
  </si>
  <si>
    <t>38390420</t>
  </si>
  <si>
    <t>Trường THamp;THCS Chí Linh</t>
  </si>
  <si>
    <t>38388501</t>
  </si>
  <si>
    <t>Trường THPT Mai Anh Tuấn</t>
  </si>
  <si>
    <t>Trường tiểu học Cẩm Phong</t>
  </si>
  <si>
    <t>Xã Linh Sơn</t>
  </si>
  <si>
    <t>38000736</t>
  </si>
  <si>
    <t>38390403</t>
  </si>
  <si>
    <t>Xã Hồ Vương</t>
  </si>
  <si>
    <t>Trường THCS Tân Phúc</t>
  </si>
  <si>
    <t>Tiểu học Đông Ninh</t>
  </si>
  <si>
    <t>Trường tiểu học Cẩm Ngọc</t>
  </si>
  <si>
    <t>38388502</t>
  </si>
  <si>
    <t>38390413</t>
  </si>
  <si>
    <t>Xã Đồng Lương</t>
  </si>
  <si>
    <t>Trường THPT Hậu Lộc I</t>
  </si>
  <si>
    <t>38000731</t>
  </si>
  <si>
    <t>Xã Hoa Lộc</t>
  </si>
  <si>
    <t>Trường tiểu học Cẩm Sơn</t>
  </si>
  <si>
    <t>Trường TH&amp;THCS Tam Văn</t>
  </si>
  <si>
    <t>38390416</t>
  </si>
  <si>
    <t>38388504</t>
  </si>
  <si>
    <t>Xã Văn Phú</t>
  </si>
  <si>
    <t>Trường tiểu học Cẩm Thủy</t>
  </si>
  <si>
    <t>38390425</t>
  </si>
  <si>
    <t>Trường THCS Lâm Phú</t>
  </si>
  <si>
    <t>38388505</t>
  </si>
  <si>
    <t>Trường THPT Lương Đắc Bằng</t>
  </si>
  <si>
    <t>38000706</t>
  </si>
  <si>
    <t>Trường Tiểu học Cẩm Giang</t>
  </si>
  <si>
    <t>38390402</t>
  </si>
  <si>
    <t>Trường THCS Giao Thiện</t>
  </si>
  <si>
    <t>Trung tâm GDNN - GDTX Hoằng Hoá</t>
  </si>
  <si>
    <t>Xã Cẩm Tú</t>
  </si>
  <si>
    <t>38000922</t>
  </si>
  <si>
    <t>38388506</t>
  </si>
  <si>
    <t>Trường Tiểu học Cẩm Quý</t>
  </si>
  <si>
    <t>Xã Giao An</t>
  </si>
  <si>
    <t>Trường THPT Hoằng Hóa 4</t>
  </si>
  <si>
    <t>38390408</t>
  </si>
  <si>
    <t>38000709</t>
  </si>
  <si>
    <t>Xã Hoằng Lộc</t>
  </si>
  <si>
    <t>Trường THCS Yên Khương</t>
  </si>
  <si>
    <t>Trường Tiểu học Cẩm Tú</t>
  </si>
  <si>
    <t>Trường THPT Hoằng Hoá 2</t>
  </si>
  <si>
    <t>38388507</t>
  </si>
  <si>
    <t>38000707</t>
  </si>
  <si>
    <t>38390424</t>
  </si>
  <si>
    <t>Trường TH&amp;THCS Cẩm Lương</t>
  </si>
  <si>
    <t>38390504</t>
  </si>
  <si>
    <t>Trường Tiểu học Cẩm Châu</t>
  </si>
  <si>
    <t>38390401</t>
  </si>
  <si>
    <t>Xã Hoằng Phú</t>
  </si>
  <si>
    <t>Xã Cẩm Vân</t>
  </si>
  <si>
    <t>Trường Tiểu học Cẩm Vân</t>
  </si>
  <si>
    <t>38390406</t>
  </si>
  <si>
    <t>Trường TH&amp;THCS Cẩm Yên</t>
  </si>
  <si>
    <t>38390502</t>
  </si>
  <si>
    <t>Trường THPT Hoằng Hóa 3</t>
  </si>
  <si>
    <t>38000708</t>
  </si>
  <si>
    <t>Xã Hoằng Thanh</t>
  </si>
  <si>
    <t>Trường TH&amp;THCS Cẩm Tâm</t>
  </si>
  <si>
    <t>38390503</t>
  </si>
  <si>
    <t>Xã Yên Khương</t>
  </si>
  <si>
    <t>Trường THPT Hoằng Hóa</t>
  </si>
  <si>
    <t>Trường Tiểu học Cổ Lũng</t>
  </si>
  <si>
    <t>38386407</t>
  </si>
  <si>
    <t>38000855</t>
  </si>
  <si>
    <t>Trường Tiểu học Lũng Cao</t>
  </si>
  <si>
    <t>38386428</t>
  </si>
  <si>
    <t>Trường THCS Linh Sơn</t>
  </si>
  <si>
    <t>Trường THPT Hà Trung</t>
  </si>
  <si>
    <t>38388508</t>
  </si>
  <si>
    <t>38000733</t>
  </si>
  <si>
    <t>Xã Hoạt Giang</t>
  </si>
  <si>
    <t>Trường THPT Quan Hoá</t>
  </si>
  <si>
    <t>Trường TH&amp;THCS Giao An</t>
  </si>
  <si>
    <t>38000746</t>
  </si>
  <si>
    <t>Trường Tiểu học Công Chính</t>
  </si>
  <si>
    <t>38388509</t>
  </si>
  <si>
    <t>38404405</t>
  </si>
  <si>
    <t>TH&amp;THCS Đông Minh</t>
  </si>
  <si>
    <t>Trường Tiểu học Công Liêm 1</t>
  </si>
  <si>
    <t>Trung tâm GDNN-GDTX Quan Hoá</t>
  </si>
  <si>
    <t>38404428</t>
  </si>
  <si>
    <t>Trường THCS Yên Thắng</t>
  </si>
  <si>
    <t>38000905</t>
  </si>
  <si>
    <t>38388510</t>
  </si>
  <si>
    <t>Xã Yên Thắng</t>
  </si>
  <si>
    <t>Trường Tiểu học Yên Mỹ</t>
  </si>
  <si>
    <t>38404433</t>
  </si>
  <si>
    <t>Trường THPT Triệu Sơn 3</t>
  </si>
  <si>
    <t>38000741</t>
  </si>
  <si>
    <t>Trường THCS Đồng Lương</t>
  </si>
  <si>
    <t>Trường Tiểu học Công Liêm 2</t>
  </si>
  <si>
    <t>Xã Hợp Tiến</t>
  </si>
  <si>
    <t>38388511</t>
  </si>
  <si>
    <t>38404437</t>
  </si>
  <si>
    <t>Trường THPT Lê Lai</t>
  </si>
  <si>
    <t>Trường Tiểu học Ái Thượng</t>
  </si>
  <si>
    <t>38000752</t>
  </si>
  <si>
    <t>38386413</t>
  </si>
  <si>
    <t>Trường PTDTNT THCS Lang Chánh</t>
  </si>
  <si>
    <t>Xã Kiên Thọ</t>
  </si>
  <si>
    <t>38388001</t>
  </si>
  <si>
    <t>Trường Tiểu học Điền Trung</t>
  </si>
  <si>
    <t>Trường THPT Thạch Thành 1</t>
  </si>
  <si>
    <t>38386427</t>
  </si>
  <si>
    <t>38000756</t>
  </si>
  <si>
    <t>Xã Kim Tân</t>
  </si>
  <si>
    <t>Trường TH&amp;THCS Lộc Thịnh</t>
  </si>
  <si>
    <t>Trường Tiểu học Điền Lư</t>
  </si>
  <si>
    <t>38389417</t>
  </si>
  <si>
    <t>TH&amp;THCS Đông Hoàng</t>
  </si>
  <si>
    <t>38386431</t>
  </si>
  <si>
    <t>Xã Ngọc Liên</t>
  </si>
  <si>
    <t>Trường TC nghề Thạch Thành</t>
  </si>
  <si>
    <t>38000935</t>
  </si>
  <si>
    <t>Trường Tiểu học Điền Thượng</t>
  </si>
  <si>
    <t>Trường THCS Ngọc Lặc</t>
  </si>
  <si>
    <t>38386404</t>
  </si>
  <si>
    <t>38389501</t>
  </si>
  <si>
    <t>Xã Ngọc Lặc</t>
  </si>
  <si>
    <t>Trường THPT Lam Kinh</t>
  </si>
  <si>
    <t>38000730</t>
  </si>
  <si>
    <t>Trường Tiểu học Điền Hạ</t>
  </si>
  <si>
    <t>Xã Lam Sơn</t>
  </si>
  <si>
    <t>38386414</t>
  </si>
  <si>
    <t>Trường THCS Lam Sơn</t>
  </si>
  <si>
    <t>38389502</t>
  </si>
  <si>
    <t>Trường THPT Thọ Xuân 5</t>
  </si>
  <si>
    <t>Xã Minh Sơn</t>
  </si>
  <si>
    <t>Trường Tiểu học Điền Quang</t>
  </si>
  <si>
    <t>38000784</t>
  </si>
  <si>
    <t>38386429</t>
  </si>
  <si>
    <t>Trường THCS Vân Am</t>
  </si>
  <si>
    <t>Trường Tiểu Học Định Hòa</t>
  </si>
  <si>
    <t>38389503</t>
  </si>
  <si>
    <t>Trường THPT Lang Chánh</t>
  </si>
  <si>
    <t>TH&amp;THCS Đông Khê</t>
  </si>
  <si>
    <t>Xã Nguyệt Ấn</t>
  </si>
  <si>
    <t>38394425</t>
  </si>
  <si>
    <t>38000750</t>
  </si>
  <si>
    <t>Xã Định Hòa</t>
  </si>
  <si>
    <t>Trường Tiểu Học Định Bình</t>
  </si>
  <si>
    <t>38389504</t>
  </si>
  <si>
    <t>38394426</t>
  </si>
  <si>
    <t>Trung tâm GDNN-GDTX Lang Chánh</t>
  </si>
  <si>
    <t>Xã Thạch Lập</t>
  </si>
  <si>
    <t>38000909</t>
  </si>
  <si>
    <t>Trường Tiểu học Định Thành</t>
  </si>
  <si>
    <t>38394427</t>
  </si>
  <si>
    <t>Trường THCS Kiên Thọ</t>
  </si>
  <si>
    <t>Trường THPT Thường Xuân 2</t>
  </si>
  <si>
    <t>38389505</t>
  </si>
  <si>
    <t>Trường Tiểu Học Định Công</t>
  </si>
  <si>
    <t>38394428</t>
  </si>
  <si>
    <t>38000788</t>
  </si>
  <si>
    <t>Xã Luận Thành</t>
  </si>
  <si>
    <t>Trường Tiểu Học Định Tân</t>
  </si>
  <si>
    <t>38394421</t>
  </si>
  <si>
    <t>Trường THCS Thúy Sơn</t>
  </si>
  <si>
    <t>Xã Định Tân</t>
  </si>
  <si>
    <t>TH&amp;THCS Đông Thịnh</t>
  </si>
  <si>
    <t>38389506</t>
  </si>
  <si>
    <t>Trường Tiểu học Định Tiến</t>
  </si>
  <si>
    <t>38394422</t>
  </si>
  <si>
    <t>Trường THCS Ngọc Khê</t>
  </si>
  <si>
    <t>Trường Tiểu Học Định Hưng</t>
  </si>
  <si>
    <t>38394423</t>
  </si>
  <si>
    <t>38389507</t>
  </si>
  <si>
    <t>Trường THPT Quảng Xương 1</t>
  </si>
  <si>
    <t>Trường Tiểu Học Định Hải</t>
  </si>
  <si>
    <t>38000710</t>
  </si>
  <si>
    <t>38394424</t>
  </si>
  <si>
    <t>Trường Tiểu Học Đồng Lương</t>
  </si>
  <si>
    <t>Trường THCS Minh Sơn</t>
  </si>
  <si>
    <t>38388404</t>
  </si>
  <si>
    <t>38389508</t>
  </si>
  <si>
    <t>Trung tâm GDNN-GDTX Quảng Xương</t>
  </si>
  <si>
    <t>Trường Tiểu học Tân Phúc</t>
  </si>
  <si>
    <t>38000925</t>
  </si>
  <si>
    <t>38388410</t>
  </si>
  <si>
    <t>Trường Tiểu học Cầu Lộc</t>
  </si>
  <si>
    <t>Trường THCS Ngọc Trung</t>
  </si>
  <si>
    <t>TH&amp;THCS Đông Anh</t>
  </si>
  <si>
    <t>38400415</t>
  </si>
  <si>
    <t>38389509</t>
  </si>
  <si>
    <t>Xã Đông Thành</t>
  </si>
  <si>
    <t>Trường TC nghề Miền núi TH</t>
  </si>
  <si>
    <t>Trường Tiểu học Tuy Lộc</t>
  </si>
  <si>
    <t>38000934</t>
  </si>
  <si>
    <t>38400417</t>
  </si>
  <si>
    <t>Trường THCS Nguyệt Ấn</t>
  </si>
  <si>
    <t>Trường Tiểu học Đồng Lộc</t>
  </si>
  <si>
    <t>38400429</t>
  </si>
  <si>
    <t>38389510</t>
  </si>
  <si>
    <t>Trường THPT Mường Lát</t>
  </si>
  <si>
    <t>38000745</t>
  </si>
  <si>
    <t>Trường Tiểu học Thành Lộc</t>
  </si>
  <si>
    <t>38400430</t>
  </si>
  <si>
    <t>Trường THCS Minh Tiến</t>
  </si>
  <si>
    <t>Trường TH&amp;THCS Phong Lộc</t>
  </si>
  <si>
    <t>38389512</t>
  </si>
  <si>
    <t>38400521</t>
  </si>
  <si>
    <t>Trung tâm GDNN-GDTX Mường Lát</t>
  </si>
  <si>
    <t>Trường Tiểu học Đồng Tiến</t>
  </si>
  <si>
    <t>38000904</t>
  </si>
  <si>
    <t>38397411</t>
  </si>
  <si>
    <t>Trường THCS Ngọc Liên</t>
  </si>
  <si>
    <t>Trường Tiểu học Đồng Lợi</t>
  </si>
  <si>
    <t>38397425</t>
  </si>
  <si>
    <t>38389513</t>
  </si>
  <si>
    <t>TH&amp;THCS Đông Hòa</t>
  </si>
  <si>
    <t>Trường Tiểu học Đồng Thắng</t>
  </si>
  <si>
    <t>38397427</t>
  </si>
  <si>
    <t>Trường THCS Ngọc Sơn</t>
  </si>
  <si>
    <t>Trường Tiểu học Giao Thiện</t>
  </si>
  <si>
    <t>38389515</t>
  </si>
  <si>
    <t>38388403</t>
  </si>
  <si>
    <t>Trường THPT Ba Đình</t>
  </si>
  <si>
    <t>38000735</t>
  </si>
  <si>
    <t>Trường THCS Phúc Thịnh</t>
  </si>
  <si>
    <t>Xã Nga Sơn</t>
  </si>
  <si>
    <t>38389516</t>
  </si>
  <si>
    <t>Trường tiểu học Hà Bắc</t>
  </si>
  <si>
    <t>38392401</t>
  </si>
  <si>
    <t>Xã Hà Long</t>
  </si>
  <si>
    <t>Trường THPT Nga Sơn</t>
  </si>
  <si>
    <t>38000789</t>
  </si>
  <si>
    <t>Trường tiểu học Hà Long 1</t>
  </si>
  <si>
    <t>Trường THCS Thạch Lập</t>
  </si>
  <si>
    <t>38392402</t>
  </si>
  <si>
    <t>38389517</t>
  </si>
  <si>
    <t>Trường TC nghề Nga Sơn</t>
  </si>
  <si>
    <t>TH&amp;THCS Thiệu Châu</t>
  </si>
  <si>
    <t>Trường THCS Phùng Giáo</t>
  </si>
  <si>
    <t>38000937</t>
  </si>
  <si>
    <t>38389518</t>
  </si>
  <si>
    <t>Trường tiểu học Hà Giang</t>
  </si>
  <si>
    <t>Trường THCS Cao Thịnh</t>
  </si>
  <si>
    <t>38392403</t>
  </si>
  <si>
    <t>38389519</t>
  </si>
  <si>
    <t>Trường THPT Ngọc Lặc</t>
  </si>
  <si>
    <t>38000751</t>
  </si>
  <si>
    <t>Trường tiểu học Hà Long 2</t>
  </si>
  <si>
    <t>38392427</t>
  </si>
  <si>
    <t>Trường TH&amp;THCS Phùng Minh</t>
  </si>
  <si>
    <t>38389520</t>
  </si>
  <si>
    <t>Trường tiểu học Hà Ngọc</t>
  </si>
  <si>
    <t>38392417</t>
  </si>
  <si>
    <t>Trường THPT DTNT Ngọc Lặc</t>
  </si>
  <si>
    <t>38000E66</t>
  </si>
  <si>
    <t>Trường TH&amp;THCS Đồng Thịnh</t>
  </si>
  <si>
    <t>Trường tiểu học Hà Ninh</t>
  </si>
  <si>
    <t>38389522</t>
  </si>
  <si>
    <t>38392419</t>
  </si>
  <si>
    <t>Trường THCS Mỹ Tân</t>
  </si>
  <si>
    <t>Trung tâm GDNN-GDTX Ngọc Lặc</t>
  </si>
  <si>
    <t>Tiểu học Thiệu Khánh</t>
  </si>
  <si>
    <t>38389524</t>
  </si>
  <si>
    <t>38000911</t>
  </si>
  <si>
    <t>Trường Tiểu học Hà Trung</t>
  </si>
  <si>
    <t>Trường THCS Cao Ngọc</t>
  </si>
  <si>
    <t>38389525</t>
  </si>
  <si>
    <t>38392420</t>
  </si>
  <si>
    <t>Trường THPT Bắc Sơn</t>
  </si>
  <si>
    <t>38000793</t>
  </si>
  <si>
    <t>Trường tiểu học Hà Lâm</t>
  </si>
  <si>
    <t>38392423</t>
  </si>
  <si>
    <t>Trường THCS Lê Đình Chinh</t>
  </si>
  <si>
    <t>38389601</t>
  </si>
  <si>
    <t>Trường tiểu học Hà Đông</t>
  </si>
  <si>
    <t>38392424</t>
  </si>
  <si>
    <t>Trường THPT Như Thanh</t>
  </si>
  <si>
    <t>38000755</t>
  </si>
  <si>
    <t>Trường Tiểu học Hậu Lộc</t>
  </si>
  <si>
    <t>Xã Như Thanh</t>
  </si>
  <si>
    <t>38400407</t>
  </si>
  <si>
    <t>Trường PT Dân tộc nội trú THCS Ngọc Lặc</t>
  </si>
  <si>
    <t>Trường Tiểu học Thuần Lộc</t>
  </si>
  <si>
    <t>38400418</t>
  </si>
  <si>
    <t>Trung tâm GDNN - GDTX NHƯ THANH</t>
  </si>
  <si>
    <t>TH&amp;THCS Thiệu Tân</t>
  </si>
  <si>
    <t>38389027</t>
  </si>
  <si>
    <t>38000914</t>
  </si>
  <si>
    <t>Trường Tiểu học Lộc Tân</t>
  </si>
  <si>
    <t>38400424</t>
  </si>
  <si>
    <t>Trường TH&amp;THCS Mỹ Lộc</t>
  </si>
  <si>
    <t>38400501</t>
  </si>
  <si>
    <t>Trường THPT Như Xuân</t>
  </si>
  <si>
    <t>38000754</t>
  </si>
  <si>
    <t>Trường THamp;THCS Lộc Sơn</t>
  </si>
  <si>
    <t>Xã Như Xuân</t>
  </si>
  <si>
    <t>38400524</t>
  </si>
  <si>
    <t>Trường Tiểu học Hiền Kiệt</t>
  </si>
  <si>
    <t>Trung Tâm GDNN-GDTX Như Xuân</t>
  </si>
  <si>
    <t>38385407</t>
  </si>
  <si>
    <t>38000913</t>
  </si>
  <si>
    <t>Trường Tiểu học Hiền Chung</t>
  </si>
  <si>
    <t>38385414</t>
  </si>
  <si>
    <t>Trường THPT Nông Cống 1</t>
  </si>
  <si>
    <t>38000721</t>
  </si>
  <si>
    <t>Trường tiểu học Nga Hải</t>
  </si>
  <si>
    <t>Xã Nông Cống</t>
  </si>
  <si>
    <t>38401405</t>
  </si>
  <si>
    <t>TH&amp;THCS Thiệu Vân</t>
  </si>
  <si>
    <t>Trường tiểu học Nga Liên 1</t>
  </si>
  <si>
    <t>Trung tâm GDNN - GDTX huyện Nông Cống</t>
  </si>
  <si>
    <t>38401406</t>
  </si>
  <si>
    <t>38000926</t>
  </si>
  <si>
    <t>Trường Tiểu học Nga Giáp</t>
  </si>
  <si>
    <t>38401409</t>
  </si>
  <si>
    <t>Trường tiểu học Nga Thành</t>
  </si>
  <si>
    <t>38401410</t>
  </si>
  <si>
    <t>Trường THPT Quan Sơn</t>
  </si>
  <si>
    <t>38000747</t>
  </si>
  <si>
    <t>Trường tiểu học Nga Liên 2</t>
  </si>
  <si>
    <t>TH&amp;THCS Thiệu Giao</t>
  </si>
  <si>
    <t>38401429</t>
  </si>
  <si>
    <t>Trung tâm GDNN-GDTX Quan Sơn</t>
  </si>
  <si>
    <t>Trường Tiểu học Xuân Lộc</t>
  </si>
  <si>
    <t>38000906</t>
  </si>
  <si>
    <t>38400403</t>
  </si>
  <si>
    <t>Trường Tiểu học Phú Lộc</t>
  </si>
  <si>
    <t>Trường THPT Đặng Thai Mai</t>
  </si>
  <si>
    <t>38400409</t>
  </si>
  <si>
    <t>38000771</t>
  </si>
  <si>
    <t>Xã Quảng Bình</t>
  </si>
  <si>
    <t>Tiểu học Đông Lĩnh</t>
  </si>
  <si>
    <t>Trường THCS Cẩm Bình</t>
  </si>
  <si>
    <t>Trường Tiểu học Quang Lộc</t>
  </si>
  <si>
    <t>Trường THPT Quảng Xương 2</t>
  </si>
  <si>
    <t>38390505</t>
  </si>
  <si>
    <t>38400419</t>
  </si>
  <si>
    <t>38000711</t>
  </si>
  <si>
    <t>Xã Quảng Ngọc</t>
  </si>
  <si>
    <t>Trường Tiểu học Liên Lộc</t>
  </si>
  <si>
    <t>38400420</t>
  </si>
  <si>
    <t>Trường THCS Cẩm Thủy</t>
  </si>
  <si>
    <t>Trường TC Công nghệ Xanh</t>
  </si>
  <si>
    <t>38390506</t>
  </si>
  <si>
    <t>3800005006</t>
  </si>
  <si>
    <t>Trường Tiểu học Hòa Lộc</t>
  </si>
  <si>
    <t>38400422</t>
  </si>
  <si>
    <t>Xã Quảng Ninh</t>
  </si>
  <si>
    <t>Trường Tiểu học Hoa Lộc</t>
  </si>
  <si>
    <t>Trường THCS Cẩm Sơn</t>
  </si>
  <si>
    <t>38400425</t>
  </si>
  <si>
    <t>Trường THPT Triệu Sơn 2</t>
  </si>
  <si>
    <t>38000740</t>
  </si>
  <si>
    <t>38390508</t>
  </si>
  <si>
    <t>Trường TH amp; THCS Bình Lương</t>
  </si>
  <si>
    <t>Xã Tân Ninh</t>
  </si>
  <si>
    <t>38402415</t>
  </si>
  <si>
    <t>Xã Hóa Quỳ</t>
  </si>
  <si>
    <t>Tiểu học Đông Tiến</t>
  </si>
  <si>
    <t>Trường THPT Thạch Thành 2</t>
  </si>
  <si>
    <t>Trường Tiểu Học Hóa Quỳ</t>
  </si>
  <si>
    <t>Trường THCS Cẩm Châu</t>
  </si>
  <si>
    <t>38402417</t>
  </si>
  <si>
    <t>38000757</t>
  </si>
  <si>
    <t>38390509</t>
  </si>
  <si>
    <t>Xã Thạch Bình</t>
  </si>
  <si>
    <t>Trường TH&amp;THCS Xuân Quỳ</t>
  </si>
  <si>
    <t>38402518</t>
  </si>
  <si>
    <t>Trường Tiểu học Hoằng Phong</t>
  </si>
  <si>
    <t>38399434</t>
  </si>
  <si>
    <t>Xã Hoằng Châu</t>
  </si>
  <si>
    <t>Trường THCS Cẩm Phong</t>
  </si>
  <si>
    <t>Trường Tiểu học Hoằng Lưu</t>
  </si>
  <si>
    <t>38390510</t>
  </si>
  <si>
    <t>38399435</t>
  </si>
  <si>
    <t>Trường THPT Thạch Thành 4</t>
  </si>
  <si>
    <t>38000795</t>
  </si>
  <si>
    <t>Trường Tiểu học Hoằng Châu</t>
  </si>
  <si>
    <t>38399436</t>
  </si>
  <si>
    <t>Xã Thạch Quảng</t>
  </si>
  <si>
    <t>Trường THCS Cẩm Vân</t>
  </si>
  <si>
    <t>Trường Tiểu học Hoằng Thắng</t>
  </si>
  <si>
    <t>38390511</t>
  </si>
  <si>
    <t>38399439</t>
  </si>
  <si>
    <t>Trường THPT Nông Cống 2</t>
  </si>
  <si>
    <t>TH&amp;THCS Đông Thanh</t>
  </si>
  <si>
    <t>38000722</t>
  </si>
  <si>
    <t>Trường Tiểu học Hoằng Giang</t>
  </si>
  <si>
    <t>Xã Thắng Lợi</t>
  </si>
  <si>
    <t>38399401</t>
  </si>
  <si>
    <t>Xã Hoằng Giang</t>
  </si>
  <si>
    <t>Trường THCS Trương Công Man</t>
  </si>
  <si>
    <t>Trường Tiểu học Hoằng Xuân 1</t>
  </si>
  <si>
    <t>38390512</t>
  </si>
  <si>
    <t>Trường THPT Như Thanh 2</t>
  </si>
  <si>
    <t>38399402</t>
  </si>
  <si>
    <t>38000785</t>
  </si>
  <si>
    <t>Xã Thanh Kỳ</t>
  </si>
  <si>
    <t>Trường Tiểu học Hoằng Xuân 2</t>
  </si>
  <si>
    <t>38399403</t>
  </si>
  <si>
    <t>Trường THCS Cẩm Tân</t>
  </si>
  <si>
    <t>38390513</t>
  </si>
  <si>
    <t>Trường tiểu học Hoằng Phượng</t>
  </si>
  <si>
    <t>38399404</t>
  </si>
  <si>
    <t>38000E65</t>
  </si>
  <si>
    <t>Trường Tiểu học Hoằng Quỳ</t>
  </si>
  <si>
    <t>Trường THCS Cẩm Long</t>
  </si>
  <si>
    <t>38399416</t>
  </si>
  <si>
    <t>38390514</t>
  </si>
  <si>
    <t>TH&amp;THCS&amp;THPT Hồng Đức</t>
  </si>
  <si>
    <t>Trường Tiểu học Hoằng Hợp</t>
  </si>
  <si>
    <t>38399417</t>
  </si>
  <si>
    <t>Trường THCS&amp;THPT Quan Hóa</t>
  </si>
  <si>
    <t>Trường THCS Cẩm Tú</t>
  </si>
  <si>
    <t>38390515</t>
  </si>
  <si>
    <t>Trường Tiểu học Hoằng Đạt</t>
  </si>
  <si>
    <t>38399425</t>
  </si>
  <si>
    <t>Tiểu học Bút Sơn</t>
  </si>
  <si>
    <t>Trường THCS Cẩm Ngọc</t>
  </si>
  <si>
    <t>38399427</t>
  </si>
  <si>
    <t>38390516</t>
  </si>
  <si>
    <t>Trường Tiểu học Hoằng Đạo</t>
  </si>
  <si>
    <t>38399438</t>
  </si>
  <si>
    <t>78000790</t>
  </si>
  <si>
    <t>Trường THCS Cẩm Thành</t>
  </si>
  <si>
    <t>Trường Tiểu học Lê Tất Đắc</t>
  </si>
  <si>
    <t>38399448</t>
  </si>
  <si>
    <t>38390517</t>
  </si>
  <si>
    <t>Trường Tiểu học Camellia</t>
  </si>
  <si>
    <t>Tiểu học Vietkids</t>
  </si>
  <si>
    <t>38399473</t>
  </si>
  <si>
    <t>Trường TH&amp;THCS Hoằng Đức 2</t>
  </si>
  <si>
    <t>Trường THCS Cẩm Thạch</t>
  </si>
  <si>
    <t>38399521</t>
  </si>
  <si>
    <t>38390518</t>
  </si>
  <si>
    <t>Trường TH&amp;THCS Hoằng Đức 1</t>
  </si>
  <si>
    <t>38399523</t>
  </si>
  <si>
    <t>Trường TH&amp;THCS Hoằng Hà</t>
  </si>
  <si>
    <t>38399524</t>
  </si>
  <si>
    <t>Trường THCS Cẩm Giang</t>
  </si>
  <si>
    <t>Trường THPT Thiệu Hóa</t>
  </si>
  <si>
    <t>38390519</t>
  </si>
  <si>
    <t>38000716</t>
  </si>
  <si>
    <t>Trường THamp;THCS Hoằng Đồng</t>
  </si>
  <si>
    <t>38399526</t>
  </si>
  <si>
    <t>Trường Tiểu học Hoằng Thịnh</t>
  </si>
  <si>
    <t>38399428</t>
  </si>
  <si>
    <t>Trường THCS Cẩm Quý</t>
  </si>
  <si>
    <t>Trung tâm GDNN- GDTX Thiệu Hóa</t>
  </si>
  <si>
    <t>38390520</t>
  </si>
  <si>
    <t>Trường Tiểu học Hoằng Thái</t>
  </si>
  <si>
    <t>38000921</t>
  </si>
  <si>
    <t>38399429</t>
  </si>
  <si>
    <t>TH&amp;THCS&amp;THPT Vinschool Star City</t>
  </si>
  <si>
    <t>Trường Tiểu học Lê Mạnh Trinh</t>
  </si>
  <si>
    <t>38399430</t>
  </si>
  <si>
    <t>Trường PTDTNT THCS Cẩm Thủy</t>
  </si>
  <si>
    <t>Trường THPT Nguyễn Quán Nho</t>
  </si>
  <si>
    <t>38390521</t>
  </si>
  <si>
    <t>Trường Tiểu học Hoằng Thành</t>
  </si>
  <si>
    <t>38000717</t>
  </si>
  <si>
    <t>38399431</t>
  </si>
  <si>
    <t>Xã Thiệu Quang</t>
  </si>
  <si>
    <t>Trường Tiểu học Hoằng Trạch</t>
  </si>
  <si>
    <t>38399432</t>
  </si>
  <si>
    <t>Trường THCS Thạch Lâm</t>
  </si>
  <si>
    <t>Trường THPT Lê Văn Hưu</t>
  </si>
  <si>
    <t>38391501</t>
  </si>
  <si>
    <t>38000715</t>
  </si>
  <si>
    <t>Trường Tiểu học Hoằng Tân</t>
  </si>
  <si>
    <t>38399437</t>
  </si>
  <si>
    <t>Xã Thiệu Trung</t>
  </si>
  <si>
    <t>Trường Tiểu học Hoằng Quý</t>
  </si>
  <si>
    <t>38399406</t>
  </si>
  <si>
    <t>Trường THCS Thạch Tượng</t>
  </si>
  <si>
    <t>Trường THPT Thọ Xuân 4</t>
  </si>
  <si>
    <t>38391502</t>
  </si>
  <si>
    <t>38000781</t>
  </si>
  <si>
    <t>Trường Tiểu học Hoằng Kim</t>
  </si>
  <si>
    <t>Tiểu học Đông Vệ 1</t>
  </si>
  <si>
    <t>Xã Thọ Lập</t>
  </si>
  <si>
    <t>38399407</t>
  </si>
  <si>
    <t>Trường Tiểu học Hoằng Trung</t>
  </si>
  <si>
    <t>Trường THCS Thạch Quảng</t>
  </si>
  <si>
    <t>38399408</t>
  </si>
  <si>
    <t>Trường THPT Triệu Sơn 4</t>
  </si>
  <si>
    <t>38391503</t>
  </si>
  <si>
    <t>38000742</t>
  </si>
  <si>
    <t>Trường Tiểu học và THCS Hoằng Phú</t>
  </si>
  <si>
    <t>Xã Thọ Phú</t>
  </si>
  <si>
    <t>38399505</t>
  </si>
  <si>
    <t>Trường Tiểu học Hoằng Trinh</t>
  </si>
  <si>
    <t>Trường THCS Thạch Cẩm</t>
  </si>
  <si>
    <t>38399410</t>
  </si>
  <si>
    <t>Trường THPT Lê Lợi</t>
  </si>
  <si>
    <t>38391504</t>
  </si>
  <si>
    <t>Xã Hoằng Sơn</t>
  </si>
  <si>
    <t>38000728</t>
  </si>
  <si>
    <t>Xã Thọ Xuân</t>
  </si>
  <si>
    <t>Tiểu học Hoằng Xuyên 1</t>
  </si>
  <si>
    <t>38399412</t>
  </si>
  <si>
    <t>Trường THCS Thạch Sơn</t>
  </si>
  <si>
    <t>Trung tâm GDNN-GDTX Thọ Xuân</t>
  </si>
  <si>
    <t>38391505</t>
  </si>
  <si>
    <t>Trường Tiểu học Hoằng Cát</t>
  </si>
  <si>
    <t>38000919</t>
  </si>
  <si>
    <t>38399413</t>
  </si>
  <si>
    <t>Tiểu học Đông Vệ 2</t>
  </si>
  <si>
    <t>Trường THCS Thạch Bình</t>
  </si>
  <si>
    <t>Trường Tiểu học Hoằng Xuyên 2</t>
  </si>
  <si>
    <t>Trường THPT Cầm Bá Thước</t>
  </si>
  <si>
    <t>38391506</t>
  </si>
  <si>
    <t>38399414</t>
  </si>
  <si>
    <t>38000753</t>
  </si>
  <si>
    <t>Xã Thường Xuân</t>
  </si>
  <si>
    <t>Trường TH&amp;THCS Hoằng Sơn 1</t>
  </si>
  <si>
    <t>Trường TH&amp;THCS Thạch Định</t>
  </si>
  <si>
    <t>38399509</t>
  </si>
  <si>
    <t>38391508</t>
  </si>
  <si>
    <t>Trung Tâm GDNN - GDTX Thường Xuân</t>
  </si>
  <si>
    <t>38000912</t>
  </si>
  <si>
    <t>Trường TH&amp;THCS Hoằng Sơn 2</t>
  </si>
  <si>
    <t>38399511</t>
  </si>
  <si>
    <t>Trường THCS Thạch Đồng</t>
  </si>
  <si>
    <t>38391509</t>
  </si>
  <si>
    <t>Trường THPT Quảng Xương 4</t>
  </si>
  <si>
    <t>Trường Tiểu học Hoằng Đông</t>
  </si>
  <si>
    <t>38000713</t>
  </si>
  <si>
    <t>38399444</t>
  </si>
  <si>
    <t>Xã Tiên Trang</t>
  </si>
  <si>
    <t>Tiểu học Nguyễn Văn Trỗi</t>
  </si>
  <si>
    <t>Trường THCS Thạch Long</t>
  </si>
  <si>
    <t>38391510</t>
  </si>
  <si>
    <t>Trường THPT Hậu Lộc 3</t>
  </si>
  <si>
    <t>Trường Tiểu học Hoằng Thanh</t>
  </si>
  <si>
    <t>Trường THCS Thành Yên</t>
  </si>
  <si>
    <t>38391511</t>
  </si>
  <si>
    <t>Xã Thành Vinh</t>
  </si>
  <si>
    <t>Trường THCS Thành Mỹ</t>
  </si>
  <si>
    <t>38391512</t>
  </si>
  <si>
    <t>Trường THCS Thành Vinh</t>
  </si>
  <si>
    <t>38391513</t>
  </si>
  <si>
    <t>Trường THCS Thành Trực</t>
  </si>
  <si>
    <t>38391514</t>
  </si>
  <si>
    <t>Trường THCS Thành Kim</t>
  </si>
  <si>
    <t>38391515</t>
  </si>
  <si>
    <t>Trường THCS Thành Hưng</t>
  </si>
  <si>
    <t>Tiểu học Lê Văn Tám</t>
  </si>
  <si>
    <t>38391516</t>
  </si>
  <si>
    <t>Trường THCS Thành Tiến</t>
  </si>
  <si>
    <t>38391517</t>
  </si>
  <si>
    <t>Trường THCS Thành Long</t>
  </si>
  <si>
    <t>38391518</t>
  </si>
  <si>
    <t>Xã Ngọc Trạo</t>
  </si>
  <si>
    <t>Trường THCS Thành Thọ</t>
  </si>
  <si>
    <t>38391519</t>
  </si>
  <si>
    <t>Trường THCS Thành An</t>
  </si>
  <si>
    <t>Tiểu học Tân Sơn</t>
  </si>
  <si>
    <t>38391520</t>
  </si>
  <si>
    <t>38391521</t>
  </si>
  <si>
    <t>Trường THCS Thành Minh</t>
  </si>
  <si>
    <t>38391522</t>
  </si>
  <si>
    <t>Trường THCS Thành Công</t>
  </si>
  <si>
    <t>38391523</t>
  </si>
  <si>
    <t>Xã Vân Du</t>
  </si>
  <si>
    <t>Trường THCS Thành Tân</t>
  </si>
  <si>
    <t>38391524</t>
  </si>
  <si>
    <t>Trường THCS Thành Vân</t>
  </si>
  <si>
    <t>38391525</t>
  </si>
  <si>
    <t>Trường THCS Vân Du</t>
  </si>
  <si>
    <t>38391526</t>
  </si>
  <si>
    <t>Trường THCS Thành Tâm</t>
  </si>
  <si>
    <t>38391527</t>
  </si>
  <si>
    <t>Trường THCS Phạm Văn Hinh</t>
  </si>
  <si>
    <t>38391528</t>
  </si>
  <si>
    <t>TH&amp;THCS Thạch Tân</t>
  </si>
  <si>
    <t>38391530</t>
  </si>
  <si>
    <t>Trường PT DTNT THCS Thạch Thành</t>
  </si>
  <si>
    <t>38391029</t>
  </si>
  <si>
    <t>Trường THCS Hà Ngọc</t>
  </si>
  <si>
    <t>38392501</t>
  </si>
  <si>
    <t>Trường THCS Hoạt Giang</t>
  </si>
  <si>
    <t>38392504</t>
  </si>
  <si>
    <t>Trường THCS Yên Dương</t>
  </si>
  <si>
    <t>38392505</t>
  </si>
  <si>
    <t>Trường THCS Hà Trung</t>
  </si>
  <si>
    <t>38392506</t>
  </si>
  <si>
    <t>Trường THCS Lý Thường Kiệt</t>
  </si>
  <si>
    <t>38392507</t>
  </si>
  <si>
    <t>Trường THCS Hà Lĩnh</t>
  </si>
  <si>
    <t>38392508</t>
  </si>
  <si>
    <t>Xã Tống Sơn</t>
  </si>
  <si>
    <t>Trường THCS Hà Sơn</t>
  </si>
  <si>
    <t>38392509</t>
  </si>
  <si>
    <t>Trường THCS Hà Đông</t>
  </si>
  <si>
    <t>38392510</t>
  </si>
  <si>
    <t>Trường THCS Yến Sơn</t>
  </si>
  <si>
    <t>38392511</t>
  </si>
  <si>
    <t>Trường THCS Hà Bình</t>
  </si>
  <si>
    <t>38392512</t>
  </si>
  <si>
    <t>Trường THCS Phú Hải Toại</t>
  </si>
  <si>
    <t>38392513</t>
  </si>
  <si>
    <t>Xã Lĩnh Toại</t>
  </si>
  <si>
    <t>Trường THCS Hà Thái</t>
  </si>
  <si>
    <t>38392514</t>
  </si>
  <si>
    <t>Trường THCS Hà Lai</t>
  </si>
  <si>
    <t>38392515</t>
  </si>
  <si>
    <t>Trường THCS Hà Vinh</t>
  </si>
  <si>
    <t>38392516</t>
  </si>
  <si>
    <t>Trường THCS Hà Châu</t>
  </si>
  <si>
    <t>38392517</t>
  </si>
  <si>
    <t>38399445</t>
  </si>
  <si>
    <t>Trường THCS Hà Tiến</t>
  </si>
  <si>
    <t>38392520</t>
  </si>
  <si>
    <t>Trường Tiểu học Hoằng Phụ</t>
  </si>
  <si>
    <t>Trường THCS Hà Tân</t>
  </si>
  <si>
    <t>38399446</t>
  </si>
  <si>
    <t>38392521</t>
  </si>
  <si>
    <t>Trường Tiểu học Hoằng Ngọc</t>
  </si>
  <si>
    <t>38399447</t>
  </si>
  <si>
    <t>Trường THCS Hà Giang</t>
  </si>
  <si>
    <t>38392522</t>
  </si>
  <si>
    <t>Trường Tiểu học Lê Xuân Lan</t>
  </si>
  <si>
    <t>38399441</t>
  </si>
  <si>
    <t>Xã Hoằng Tiến</t>
  </si>
  <si>
    <t>Trường Tiểu học Hoằng Hải</t>
  </si>
  <si>
    <t>38000790</t>
  </si>
  <si>
    <t>38399442</t>
  </si>
  <si>
    <t>Trường THCS Hà Long</t>
  </si>
  <si>
    <t>Xã Triệu Lộc</t>
  </si>
  <si>
    <t>38392523</t>
  </si>
  <si>
    <t>Trường Tiểu học Hoằng Trường</t>
  </si>
  <si>
    <t>38399443</t>
  </si>
  <si>
    <t>Trường TH&amp;THCS Hoằng Yến</t>
  </si>
  <si>
    <t>Trường THPT Triệu Sơn 1</t>
  </si>
  <si>
    <t>Trường THCS Hà Bắc</t>
  </si>
  <si>
    <t>38399540</t>
  </si>
  <si>
    <t>38000739</t>
  </si>
  <si>
    <t>38392524</t>
  </si>
  <si>
    <t>Trường tiểu hoc Hà Yên</t>
  </si>
  <si>
    <t>38392406</t>
  </si>
  <si>
    <t>Trường THCS Vĩnh Quang</t>
  </si>
  <si>
    <t>38393501</t>
  </si>
  <si>
    <t>Trường tiểu học Hà Dương</t>
  </si>
  <si>
    <t>38392407</t>
  </si>
  <si>
    <t>Trường Tiểu Học Hoạt Giang</t>
  </si>
  <si>
    <t>38392408</t>
  </si>
  <si>
    <t>Trung tâm GDNN-GDTX huyện Triệu Sơn</t>
  </si>
  <si>
    <t>Trường tiểu học Hà Bình</t>
  </si>
  <si>
    <t>38000924</t>
  </si>
  <si>
    <t>Xã Tây Đô</t>
  </si>
  <si>
    <t>38392418</t>
  </si>
  <si>
    <t>Trường THCS Vĩnh An</t>
  </si>
  <si>
    <t>Trường Tiểu học Quan Hóa</t>
  </si>
  <si>
    <t>Trường CĐ Nông nghiệp Thanh Hóa</t>
  </si>
  <si>
    <t>38393502</t>
  </si>
  <si>
    <t>38385409</t>
  </si>
  <si>
    <t>38000936</t>
  </si>
  <si>
    <t>Trường Tiểu học Hồi Xuân</t>
  </si>
  <si>
    <t>Trường THCS Vĩnh Thịnh</t>
  </si>
  <si>
    <t>38385416</t>
  </si>
  <si>
    <t>Trường THPT Nông Cống</t>
  </si>
  <si>
    <t>38393503</t>
  </si>
  <si>
    <t>38000849</t>
  </si>
  <si>
    <t>Trường Tiểu học Phú nghiêm</t>
  </si>
  <si>
    <t>Xã Trung Chính</t>
  </si>
  <si>
    <t>38385418</t>
  </si>
  <si>
    <t>Trường THCS Vĩnh Minh</t>
  </si>
  <si>
    <t>Trường Tiểu học Triệu Thành</t>
  </si>
  <si>
    <t>Trường THPT Nông Cống 4</t>
  </si>
  <si>
    <t>38393504</t>
  </si>
  <si>
    <t>38397414</t>
  </si>
  <si>
    <t>38000724</t>
  </si>
  <si>
    <t>Xã Trường Văn</t>
  </si>
  <si>
    <t>Trường Tiểu học Hợp Thắng</t>
  </si>
  <si>
    <t>38397419</t>
  </si>
  <si>
    <t>Trường THCS Nguyễn Đan Quế</t>
  </si>
  <si>
    <t>Trường THPT Thạch Thành 3</t>
  </si>
  <si>
    <t>38393505</t>
  </si>
  <si>
    <t>Trường Tiểu học Hợp Thành</t>
  </si>
  <si>
    <t>38000787</t>
  </si>
  <si>
    <t>38397431</t>
  </si>
  <si>
    <t>Trường Tiểu học Hợp Lý</t>
  </si>
  <si>
    <t>38397432</t>
  </si>
  <si>
    <t>Trường THCS Vĩnh Hòa</t>
  </si>
  <si>
    <t>38393506</t>
  </si>
  <si>
    <t>Trường THPT Hậu Lộc 4</t>
  </si>
  <si>
    <t>Trường TH và THCS Hợp Tiến</t>
  </si>
  <si>
    <t>Xã Vĩnh Lộc</t>
  </si>
  <si>
    <t>38000792</t>
  </si>
  <si>
    <t>38397517</t>
  </si>
  <si>
    <t>Xã Vạn Lộc</t>
  </si>
  <si>
    <t>Trường Tiểu học Kiên Thọ 2</t>
  </si>
  <si>
    <t>38389402</t>
  </si>
  <si>
    <t>Trường TH&amp;THCS Vĩnh Khang</t>
  </si>
  <si>
    <t>Trường THPT Thường Xuân 3</t>
  </si>
  <si>
    <t>38393507</t>
  </si>
  <si>
    <t>Trường Tiểu học Kiên Thọ 1</t>
  </si>
  <si>
    <t>38000E63</t>
  </si>
  <si>
    <t>38389409</t>
  </si>
  <si>
    <t>Xã Vạn Xuân</t>
  </si>
  <si>
    <t>Trường Tiểu học Phúc Thịnh</t>
  </si>
  <si>
    <t>38389416</t>
  </si>
  <si>
    <t>Trường THPT Vĩnh Lộc</t>
  </si>
  <si>
    <t>Trường THCS Vĩnh Ninh</t>
  </si>
  <si>
    <t>38000743</t>
  </si>
  <si>
    <t>38393508</t>
  </si>
  <si>
    <t>Trung tâm GDNN - GDTX Vĩnh Lộc</t>
  </si>
  <si>
    <t>38000915</t>
  </si>
  <si>
    <t>Trường Tiểu Học Thành Trực</t>
  </si>
  <si>
    <t>38391421</t>
  </si>
  <si>
    <t>Trường THCS Vĩnh Thành</t>
  </si>
  <si>
    <t>Trường THPT Như Xuân 2</t>
  </si>
  <si>
    <t>38393509</t>
  </si>
  <si>
    <t>38000796</t>
  </si>
  <si>
    <t>Trường Tiểu học Thành Kim</t>
  </si>
  <si>
    <t>Xã Xuân Bình</t>
  </si>
  <si>
    <t>38391423</t>
  </si>
  <si>
    <t>38000E64</t>
  </si>
  <si>
    <t>Trường THCS Vĩnh Phúc</t>
  </si>
  <si>
    <t>Trường Tiểu học Kim Tân</t>
  </si>
  <si>
    <t>38393510</t>
  </si>
  <si>
    <t>38391425</t>
  </si>
  <si>
    <t>Trường THPT Lê Hoàn</t>
  </si>
  <si>
    <t>38000729</t>
  </si>
  <si>
    <t>Trường Tiểu Học Thành Hưng</t>
  </si>
  <si>
    <t>Xã Xuân Lập</t>
  </si>
  <si>
    <t>Tiểu học Trần Phú</t>
  </si>
  <si>
    <t>38391426</t>
  </si>
  <si>
    <t>Trường THCS Vĩnh Hưng</t>
  </si>
  <si>
    <t>Trường THPT Yên Định 1</t>
  </si>
  <si>
    <t>38393511</t>
  </si>
  <si>
    <t>38000718</t>
  </si>
  <si>
    <t>Xã Yên Định</t>
  </si>
  <si>
    <t>Tiểu học Thành Tiến</t>
  </si>
  <si>
    <t>38391427</t>
  </si>
  <si>
    <t>Trường TH,THCS&amp;THPT Nobel School VIII</t>
  </si>
  <si>
    <t>3839403001</t>
  </si>
  <si>
    <t>Trường THCS Vĩnh Yên</t>
  </si>
  <si>
    <t>38393512</t>
  </si>
  <si>
    <t>Tiểu học Thành Thọ</t>
  </si>
  <si>
    <t>Trung tâm GDNN-GDTX Yên Định</t>
  </si>
  <si>
    <t>38391429</t>
  </si>
  <si>
    <t>38000918</t>
  </si>
  <si>
    <t>Trường THamp;THCS Vĩnh Tiến</t>
  </si>
  <si>
    <t>Trường THPT Yên Định 3</t>
  </si>
  <si>
    <t>38393513</t>
  </si>
  <si>
    <t>38000720</t>
  </si>
  <si>
    <t>Trường Tiểu học Xuân Bái</t>
  </si>
  <si>
    <t>38395402</t>
  </si>
  <si>
    <t>Tiểu học Hoàng Hoa Thám</t>
  </si>
  <si>
    <t>Trường Tiểu học Lam Sơn</t>
  </si>
  <si>
    <t>38393514</t>
  </si>
  <si>
    <t>38395403</t>
  </si>
  <si>
    <t>Trường Tiểu học Thọ Xương</t>
  </si>
  <si>
    <t>Trường THPT Yên Định 2</t>
  </si>
  <si>
    <t>38395416</t>
  </si>
  <si>
    <t>Trường THCS Tây Đô</t>
  </si>
  <si>
    <t>38000719</t>
  </si>
  <si>
    <t>38393515</t>
  </si>
  <si>
    <t>Xã Yên Trường</t>
  </si>
  <si>
    <t>Trường Tiểu Học Linh Sơn - Xã Linh Sơn</t>
  </si>
  <si>
    <t>38388411</t>
  </si>
  <si>
    <t>Trường Tiểu học Linh Sơn 2</t>
  </si>
  <si>
    <t>38388412</t>
  </si>
  <si>
    <t>Trường tiểu học Hà Châu</t>
  </si>
  <si>
    <t>38392411</t>
  </si>
  <si>
    <t>Tiểu học Điện Biên 1</t>
  </si>
  <si>
    <t>Trường tiểu học Hà Lai</t>
  </si>
  <si>
    <t>38392412</t>
  </si>
  <si>
    <t>Trường Tiểu học Hà Thái</t>
  </si>
  <si>
    <t>Trường THCS Quý Lộc</t>
  </si>
  <si>
    <t>38392413</t>
  </si>
  <si>
    <t>38394501</t>
  </si>
  <si>
    <t>Xã Quý Lộc</t>
  </si>
  <si>
    <t>Trường Tiểu Học Lĩnh Toại</t>
  </si>
  <si>
    <t>38392414</t>
  </si>
  <si>
    <t>Trường THCS Yên Trung</t>
  </si>
  <si>
    <t>38394502</t>
  </si>
  <si>
    <t>Trường Tiểu Học Hà Hải</t>
  </si>
  <si>
    <t>38392415</t>
  </si>
  <si>
    <t>Trường THCS Yên Thọ</t>
  </si>
  <si>
    <t>Trường Tiểu học Luận Thành</t>
  </si>
  <si>
    <t>38394503</t>
  </si>
  <si>
    <t>38396408</t>
  </si>
  <si>
    <t>Tiểu học Điện Biên 2</t>
  </si>
  <si>
    <t>Trường Tiểu Học Xuân Cao</t>
  </si>
  <si>
    <t>Trường THCS Yên Lâm</t>
  </si>
  <si>
    <t>38396413</t>
  </si>
  <si>
    <t>38394505</t>
  </si>
  <si>
    <t>Trường Tiểu Học Lương Sơn 2</t>
  </si>
  <si>
    <t>38396419</t>
  </si>
  <si>
    <t>Trường THCS Yên Tâm</t>
  </si>
  <si>
    <t>Xã Lương Sơn</t>
  </si>
  <si>
    <t>38394506</t>
  </si>
  <si>
    <t>Trường Tiểu Học Lương Sơn 1</t>
  </si>
  <si>
    <t>38396424</t>
  </si>
  <si>
    <t>Trường THCS Yên Phú</t>
  </si>
  <si>
    <t>38394507</t>
  </si>
  <si>
    <t>Tiểu học Đông Thọ</t>
  </si>
  <si>
    <t>Trường Tiểu học Tân Phong 2</t>
  </si>
  <si>
    <t>Trường THCS Yên Phong</t>
  </si>
  <si>
    <t>38406425</t>
  </si>
  <si>
    <t>38394508</t>
  </si>
  <si>
    <t>Trường Tiểu học Tân Phong 3</t>
  </si>
  <si>
    <t>38406426</t>
  </si>
  <si>
    <t>Trường THCS Yên Thái</t>
  </si>
  <si>
    <t>38394509</t>
  </si>
  <si>
    <t>Trường Tiểu học Tân Phong 1</t>
  </si>
  <si>
    <t>38406427</t>
  </si>
  <si>
    <t>Trường THCS Yên Trường</t>
  </si>
  <si>
    <t>Trường Tiểu học Quảng Định</t>
  </si>
  <si>
    <t>Tiểu học Đông Hương</t>
  </si>
  <si>
    <t>38394511</t>
  </si>
  <si>
    <t>38406430</t>
  </si>
  <si>
    <t>Trường Tiểu học Quảng Đức</t>
  </si>
  <si>
    <t>38406431</t>
  </si>
  <si>
    <t>Trường THCS Yên Hùng</t>
  </si>
  <si>
    <t>38394513</t>
  </si>
  <si>
    <t>Xã Yên Ninh</t>
  </si>
  <si>
    <t>Trường THCS Hà Tông Huân</t>
  </si>
  <si>
    <t>38394514</t>
  </si>
  <si>
    <t>Trường TH&amp;THCS Yên Ninh</t>
  </si>
  <si>
    <t>38394515</t>
  </si>
  <si>
    <t>Trường Tiểu học Phú Nhuận</t>
  </si>
  <si>
    <t>38403402</t>
  </si>
  <si>
    <t>Xã Mậu Lâm</t>
  </si>
  <si>
    <t>Trường Tiểu học Mậu Lâm 1</t>
  </si>
  <si>
    <t>Trường THCS Yên Lạc</t>
  </si>
  <si>
    <t>Tiểu học Đông Hải 1</t>
  </si>
  <si>
    <t>38403406</t>
  </si>
  <si>
    <t>38394516</t>
  </si>
  <si>
    <t>Trường Tiểu học Mậu Lâm 2</t>
  </si>
  <si>
    <t>38403407</t>
  </si>
  <si>
    <t>Trường THCS Định Tăng</t>
  </si>
  <si>
    <t>38394517</t>
  </si>
  <si>
    <t>38389401</t>
  </si>
  <si>
    <t>Trường THCS Định Tường</t>
  </si>
  <si>
    <t>38394518</t>
  </si>
  <si>
    <t>Trường Tiểu học Minh Sơn 1</t>
  </si>
  <si>
    <t>38389412</t>
  </si>
  <si>
    <t>Trường THCS Định Long</t>
  </si>
  <si>
    <t>Trường Tiểu Học Minh Tiến</t>
  </si>
  <si>
    <t>38394519</t>
  </si>
  <si>
    <t>38389415</t>
  </si>
  <si>
    <t>Trường Tiểu học Cao Ngọc</t>
  </si>
  <si>
    <t>Trường THCS Định Liên</t>
  </si>
  <si>
    <t>38389418</t>
  </si>
  <si>
    <t>38394520</t>
  </si>
  <si>
    <t>Trường Tiểu học Minh Sơn 2</t>
  </si>
  <si>
    <t>38389430</t>
  </si>
  <si>
    <t>Trường THCS Định Tân</t>
  </si>
  <si>
    <t>38394521</t>
  </si>
  <si>
    <t>Trường Tiểu học Mường Chanh</t>
  </si>
  <si>
    <t>38384406</t>
  </si>
  <si>
    <t>Trường THCS Định Tiến</t>
  </si>
  <si>
    <t>38394522</t>
  </si>
  <si>
    <t>Trường Tiểu học Tén Tằn</t>
  </si>
  <si>
    <t>38384404</t>
  </si>
  <si>
    <t>Tiểu học Đông Hải 2</t>
  </si>
  <si>
    <t>Trường THCS Định Hưng</t>
  </si>
  <si>
    <t>38394523</t>
  </si>
  <si>
    <t>Trường THCS Định Hải</t>
  </si>
  <si>
    <t>38394524</t>
  </si>
  <si>
    <t>Trường Tiểu học Mường Lý</t>
  </si>
  <si>
    <t>38384408</t>
  </si>
  <si>
    <t>Trường THCS Định Hòa</t>
  </si>
  <si>
    <t>Trường Tiểu học Tây Tiến</t>
  </si>
  <si>
    <t>38394525</t>
  </si>
  <si>
    <t>38384412</t>
  </si>
  <si>
    <t>Trường Tiểu học Mường Mìn</t>
  </si>
  <si>
    <t>38387411</t>
  </si>
  <si>
    <t>Tiểu học Lý Tự Trọng</t>
  </si>
  <si>
    <t>Trường Tiểu học Na Mèo</t>
  </si>
  <si>
    <t>38387412</t>
  </si>
  <si>
    <t>Trường THCS Định Bình</t>
  </si>
  <si>
    <t>38394526</t>
  </si>
  <si>
    <t>Trường Tiểu học Nam Tiến</t>
  </si>
  <si>
    <t>38385405</t>
  </si>
  <si>
    <t>Trường THCS Định Thành</t>
  </si>
  <si>
    <t>38394527</t>
  </si>
  <si>
    <t>Trường Tiểu học Nam Xuân</t>
  </si>
  <si>
    <t>38385411</t>
  </si>
  <si>
    <t>Trường THCS Định Công</t>
  </si>
  <si>
    <t>Trường tiểu học Nga Điền</t>
  </si>
  <si>
    <t>38394528</t>
  </si>
  <si>
    <t>38401414</t>
  </si>
  <si>
    <t>Xã Nga An</t>
  </si>
  <si>
    <t>Tiểu học Minh Khai 1</t>
  </si>
  <si>
    <t>Trường tiểu học Nga Phú</t>
  </si>
  <si>
    <t>Trường THCS Quán Lào</t>
  </si>
  <si>
    <t>38401416</t>
  </si>
  <si>
    <t>38394529</t>
  </si>
  <si>
    <t>Trường tiểu học Nga An</t>
  </si>
  <si>
    <t>38401419</t>
  </si>
  <si>
    <t>Trường THCS Lê Đình Kiên</t>
  </si>
  <si>
    <t>38394530</t>
  </si>
  <si>
    <t>Trường tiểu học Nga Điền 2</t>
  </si>
  <si>
    <t>38401430</t>
  </si>
  <si>
    <t>Trường THCS Xuân Trường</t>
  </si>
  <si>
    <t>Trường Tiểu Học Nga Thủy</t>
  </si>
  <si>
    <t>38395501</t>
  </si>
  <si>
    <t>38401403</t>
  </si>
  <si>
    <t>Trường Tiểu Học Thị Trấn Nga Sơn</t>
  </si>
  <si>
    <t>Trường THCS Xuân Bái</t>
  </si>
  <si>
    <t>38401407</t>
  </si>
  <si>
    <t>38395502</t>
  </si>
  <si>
    <t>Trường Tiểu học Nga Bạch</t>
  </si>
  <si>
    <t>38401417</t>
  </si>
  <si>
    <t>38395503</t>
  </si>
  <si>
    <t>Trường tiểu học Nga Thanh</t>
  </si>
  <si>
    <t>38401422</t>
  </si>
  <si>
    <t>Trường THCS Xuân Hòa</t>
  </si>
  <si>
    <t>Trường Tiểu học Nga Yên</t>
  </si>
  <si>
    <t>38395504</t>
  </si>
  <si>
    <t>38401423</t>
  </si>
  <si>
    <t>Xã Xuân Hòa</t>
  </si>
  <si>
    <t>Trường tiểu học Nga Trung</t>
  </si>
  <si>
    <t>Trường THCS Xuân Phong</t>
  </si>
  <si>
    <t>38401426</t>
  </si>
  <si>
    <t>38395505</t>
  </si>
  <si>
    <t>Xã Thọ Long</t>
  </si>
  <si>
    <t>Trường Tiểu Học Mỹ Hưng</t>
  </si>
  <si>
    <t>38401520</t>
  </si>
  <si>
    <t>Trường THCS Bắc Lương</t>
  </si>
  <si>
    <t>38395506</t>
  </si>
  <si>
    <t>Trường Tiểu học Nga Phượng 1</t>
  </si>
  <si>
    <t>38401401</t>
  </si>
  <si>
    <t>Xã Nga Thắng</t>
  </si>
  <si>
    <t>Trường THCS Thọ Xuân</t>
  </si>
  <si>
    <t>Trường tiểu học Nga Thắng</t>
  </si>
  <si>
    <t>38395508</t>
  </si>
  <si>
    <t>38401402</t>
  </si>
  <si>
    <t>Trường Tiểu học Nga Thạch</t>
  </si>
  <si>
    <t>Trường THCS Thọ Lâm</t>
  </si>
  <si>
    <t>38401411</t>
  </si>
  <si>
    <t>38395509</t>
  </si>
  <si>
    <t>Xã Sao Vàng</t>
  </si>
  <si>
    <t>Trường Tiểu học Nga Phượng 2</t>
  </si>
  <si>
    <t>38401412</t>
  </si>
  <si>
    <t>Trường THCS Sao Vàng</t>
  </si>
  <si>
    <t>38395510</t>
  </si>
  <si>
    <t>Trường TH&amp;THCS Nga Văn</t>
  </si>
  <si>
    <t>38401421</t>
  </si>
  <si>
    <t>Trường THCS Thọ Hải</t>
  </si>
  <si>
    <t>Trường Tiểu học Thúy Sơn 1</t>
  </si>
  <si>
    <t>38395513</t>
  </si>
  <si>
    <t>38389403</t>
  </si>
  <si>
    <t>Trường THCS Xuân Hồng</t>
  </si>
  <si>
    <t>Trường Tiểu học Ngọc Khê 1</t>
  </si>
  <si>
    <t>38395514</t>
  </si>
  <si>
    <t>38389404</t>
  </si>
  <si>
    <t>Trường Tiểu học Mỹ Tân</t>
  </si>
  <si>
    <t>Trường THCS Xuân Lai</t>
  </si>
  <si>
    <t>38389407</t>
  </si>
  <si>
    <t>38395515</t>
  </si>
  <si>
    <t>Trường Tiểu học Ngọc Lặc</t>
  </si>
  <si>
    <t>38389410</t>
  </si>
  <si>
    <t>Trường THCS Thọ Xương</t>
  </si>
  <si>
    <t>38395516</t>
  </si>
  <si>
    <t>Trường Tiểu học Ngọc Khê 2</t>
  </si>
  <si>
    <t>38389411</t>
  </si>
  <si>
    <t>Trường Tiểu học Thúy Sơn 2</t>
  </si>
  <si>
    <t>Trường THCS Nam Giang</t>
  </si>
  <si>
    <t>38389429</t>
  </si>
  <si>
    <t>38395517</t>
  </si>
  <si>
    <t>Trường Tiểu học Ngọc Trung</t>
  </si>
  <si>
    <t>38389413</t>
  </si>
  <si>
    <t>Trường THCS Xuân Thiên</t>
  </si>
  <si>
    <t>38395519</t>
  </si>
  <si>
    <t>Trường THCS Tây Hồ</t>
  </si>
  <si>
    <t>38395520</t>
  </si>
  <si>
    <t>Trường Tiểu học Cao Thịnh</t>
  </si>
  <si>
    <t>38389420</t>
  </si>
  <si>
    <t>Trường THCS Xuân Hưng</t>
  </si>
  <si>
    <t>Trường Tiểu học Ngọc Liên</t>
  </si>
  <si>
    <t>38395521</t>
  </si>
  <si>
    <t>38389421</t>
  </si>
  <si>
    <t>Trường Tiểu học Ngọc Sơn</t>
  </si>
  <si>
    <t>Trường THCS Xuân Sinh</t>
  </si>
  <si>
    <t>38389423</t>
  </si>
  <si>
    <t>38395523</t>
  </si>
  <si>
    <t>Trường Tiểu Học Thành Long</t>
  </si>
  <si>
    <t>38391428</t>
  </si>
  <si>
    <t>Trường THCS Xuân Lập</t>
  </si>
  <si>
    <t>38395524</t>
  </si>
  <si>
    <t>Trường Tiểu học Thành An</t>
  </si>
  <si>
    <t>38391430</t>
  </si>
  <si>
    <t>Trường THCS Xuân Tín</t>
  </si>
  <si>
    <t>38395525</t>
  </si>
  <si>
    <t>Xã Xuân Tín</t>
  </si>
  <si>
    <t>38391431</t>
  </si>
  <si>
    <t>Trường THCS Thuận Minh</t>
  </si>
  <si>
    <t>38395526</t>
  </si>
  <si>
    <t>Trường THCS Xuân Phú</t>
  </si>
  <si>
    <t>38395527</t>
  </si>
  <si>
    <t>Trường THCS Xuân Minh</t>
  </si>
  <si>
    <t>38395529</t>
  </si>
  <si>
    <t>Tiểu học Thành Tâm</t>
  </si>
  <si>
    <t>38391439</t>
  </si>
  <si>
    <t>Trường Tiểu học Vân Am 2</t>
  </si>
  <si>
    <t>38389406</t>
  </si>
  <si>
    <t>Trường Tiểu học Nguyệt Ấn 1</t>
  </si>
  <si>
    <t>38389414</t>
  </si>
  <si>
    <t>Trường Tiểu học Phùng Giáo</t>
  </si>
  <si>
    <t>38389419</t>
  </si>
  <si>
    <t>Trường Tiểu học Vân Am</t>
  </si>
  <si>
    <t>38389422</t>
  </si>
  <si>
    <t>Trường Tiểu học Nguyệt Ấn 2</t>
  </si>
  <si>
    <t>38389436</t>
  </si>
  <si>
    <t>Trưởng Tiểu học Nhi Sơn</t>
  </si>
  <si>
    <t>38384407</t>
  </si>
  <si>
    <t>Trường Tiểu học Xuân Khang 2</t>
  </si>
  <si>
    <t>38403403</t>
  </si>
  <si>
    <t>Trường Tiểu học Hải Long</t>
  </si>
  <si>
    <t>38403405</t>
  </si>
  <si>
    <t>Trường Tiểu học Xuân Khang 1</t>
  </si>
  <si>
    <t>Trường THCS Quảng Phú</t>
  </si>
  <si>
    <t>38403419</t>
  </si>
  <si>
    <t>38395530</t>
  </si>
  <si>
    <t>Trường Tiểu học Bến Sung</t>
  </si>
  <si>
    <t>38403420</t>
  </si>
  <si>
    <t>Trường THCS Thọ Lộc</t>
  </si>
  <si>
    <t>38395531</t>
  </si>
  <si>
    <t>Trường Tiểu Học Yên Cát</t>
  </si>
  <si>
    <t>38402410</t>
  </si>
  <si>
    <t>Trường THCS Xuân Giang</t>
  </si>
  <si>
    <t>38395532</t>
  </si>
  <si>
    <t>Trường THamp;THCS Tân Bình</t>
  </si>
  <si>
    <t>38402503</t>
  </si>
  <si>
    <t>Trường THCS Thọ Diên</t>
  </si>
  <si>
    <t>Trường TH Và THCS Yên Lễ</t>
  </si>
  <si>
    <t>38395533</t>
  </si>
  <si>
    <t>38402511</t>
  </si>
  <si>
    <t>Trường Tiểu học Minh Thọ</t>
  </si>
  <si>
    <t>Trường THCS Trường Xuân</t>
  </si>
  <si>
    <t>38404414</t>
  </si>
  <si>
    <t>38395535</t>
  </si>
  <si>
    <t>Trường Tiểu học Minh Khôi</t>
  </si>
  <si>
    <t>38404415</t>
  </si>
  <si>
    <t>Trường THCS Phú Xuân</t>
  </si>
  <si>
    <t>38395536</t>
  </si>
  <si>
    <t>Trường Tiểu học Minh Nghĩa</t>
  </si>
  <si>
    <t>38404416</t>
  </si>
  <si>
    <t>Trường THCS Thọ Lập</t>
  </si>
  <si>
    <t>Trường Tiểu học Vạn Hòa</t>
  </si>
  <si>
    <t>38395538</t>
  </si>
  <si>
    <t>38404417</t>
  </si>
  <si>
    <t>Tiểu học Minh Khai 2</t>
  </si>
  <si>
    <t>Trường Tiểu học Vạn Thắng</t>
  </si>
  <si>
    <t>Trường THCS Lê Thánh Tông</t>
  </si>
  <si>
    <t>38404418</t>
  </si>
  <si>
    <t>38395541</t>
  </si>
  <si>
    <t>Trường Tiểu học Vạn Thiện</t>
  </si>
  <si>
    <t>38404419</t>
  </si>
  <si>
    <t>Trường THCS Xuân Thắng</t>
  </si>
  <si>
    <t>38396501</t>
  </si>
  <si>
    <t>Xã Thắng Lộc</t>
  </si>
  <si>
    <t>Trường Tiểu học Kim Đồng</t>
  </si>
  <si>
    <t>38404435</t>
  </si>
  <si>
    <t>Trường THCS Xuân Lẹ</t>
  </si>
  <si>
    <t>38396502</t>
  </si>
  <si>
    <t>38385401</t>
  </si>
  <si>
    <t>Xã Xuân Chinh</t>
  </si>
  <si>
    <t>Trường THCS Bát Mọt</t>
  </si>
  <si>
    <t>Trường Tiểu học Phú Thanh</t>
  </si>
  <si>
    <t>38396504</t>
  </si>
  <si>
    <t>TH&amp;THCS&amp;THPT Đông Bắc Ga</t>
  </si>
  <si>
    <t>38385404</t>
  </si>
  <si>
    <t>Trường THCS Luận Thành</t>
  </si>
  <si>
    <t>38396505</t>
  </si>
  <si>
    <t>Trường Tiểu học Phú Lệ</t>
  </si>
  <si>
    <t>38385413</t>
  </si>
  <si>
    <t>Trường THCS Xuân Dương</t>
  </si>
  <si>
    <t>38396506</t>
  </si>
  <si>
    <t>Trường Tiểu học Phú Xuân</t>
  </si>
  <si>
    <t>38385410</t>
  </si>
  <si>
    <t>Trường THCS Thọ Thanh</t>
  </si>
  <si>
    <t>Trường Tiểu học Thanh Xuân</t>
  </si>
  <si>
    <t>38396507</t>
  </si>
  <si>
    <t>38385417</t>
  </si>
  <si>
    <t>Tiểu học Tân Phú Khang</t>
  </si>
  <si>
    <t>Trường Tiểu học Thành Lâm</t>
  </si>
  <si>
    <t>Trường THCS Xuân Cao</t>
  </si>
  <si>
    <t>38386405</t>
  </si>
  <si>
    <t>38396508</t>
  </si>
  <si>
    <t>Trường Tiểu học Lũng Niêm</t>
  </si>
  <si>
    <t>38386417</t>
  </si>
  <si>
    <t>Trường PTDTBT-THCS Luận Khê</t>
  </si>
  <si>
    <t>38396509</t>
  </si>
  <si>
    <t>Xã Tân Thành</t>
  </si>
  <si>
    <t>Trường PTDTBT-THCS Xuân Chinh</t>
  </si>
  <si>
    <t>38396510</t>
  </si>
  <si>
    <t>Trường Tiểu học Pù Nhi</t>
  </si>
  <si>
    <t>38384402</t>
  </si>
  <si>
    <t>Trường THCS Yên Nhân</t>
  </si>
  <si>
    <t>Trường Tiểu học Sơn Lư</t>
  </si>
  <si>
    <t>38396511</t>
  </si>
  <si>
    <t>TH&amp;THCS&amp;THPT Fansipan</t>
  </si>
  <si>
    <t>38387404</t>
  </si>
  <si>
    <t>Xã Yên Nhân</t>
  </si>
  <si>
    <t>Trường Tiểu học Trung Thượng</t>
  </si>
  <si>
    <t>Trường THCS Vạn Xuân</t>
  </si>
  <si>
    <t>38387410</t>
  </si>
  <si>
    <t>38396512</t>
  </si>
  <si>
    <t>Trường THCS Xuân Lộc</t>
  </si>
  <si>
    <t>38396513</t>
  </si>
  <si>
    <t>Trường Tiểu học Quảng Lưu</t>
  </si>
  <si>
    <t>38406410</t>
  </si>
  <si>
    <t>Trường THCS Lương Sơn</t>
  </si>
  <si>
    <t>Tiểu học Quảng Lộc</t>
  </si>
  <si>
    <t>38396514</t>
  </si>
  <si>
    <t>TH&amp;THCS Newton TH</t>
  </si>
  <si>
    <t>38406411</t>
  </si>
  <si>
    <t>Trường Tiểu học Quảng Thái.</t>
  </si>
  <si>
    <t>Trường THCS Ngọc Phụng</t>
  </si>
  <si>
    <t>38406416</t>
  </si>
  <si>
    <t>38396515</t>
  </si>
  <si>
    <t>Trường Tiểu học Quảng Bình</t>
  </si>
  <si>
    <t>38406423</t>
  </si>
  <si>
    <t>Trường THCS Tân Thành</t>
  </si>
  <si>
    <t>38396516</t>
  </si>
  <si>
    <t>Trường Tiểu học Quang Chiểu I</t>
  </si>
  <si>
    <t>38384405</t>
  </si>
  <si>
    <t>Trường PTDTNT THCS Thường Xuân</t>
  </si>
  <si>
    <t>Tiểu học Tĩnh Hải</t>
  </si>
  <si>
    <t>Trường Tiểu học Quang Chiểu 2</t>
  </si>
  <si>
    <t>38396517</t>
  </si>
  <si>
    <t>38384410</t>
  </si>
  <si>
    <t>Trường THCS Thường Xuân</t>
  </si>
  <si>
    <t>38406419</t>
  </si>
  <si>
    <t>38396518</t>
  </si>
  <si>
    <t>Xã Quảng Chính</t>
  </si>
  <si>
    <t>Trường Tiểu học Quảng Chính</t>
  </si>
  <si>
    <t>38406420</t>
  </si>
  <si>
    <t>Trường THCS Xuân Cẩm</t>
  </si>
  <si>
    <t>38396519</t>
  </si>
  <si>
    <t>Trường Tiểu học Quảng Khê</t>
  </si>
  <si>
    <t>38406421</t>
  </si>
  <si>
    <t>Trường THCS Dân Quyền</t>
  </si>
  <si>
    <t>38397501</t>
  </si>
  <si>
    <t>Trường Tiểu học Quảng Trường</t>
  </si>
  <si>
    <t>38406441</t>
  </si>
  <si>
    <t>Trường THCS Khuyến Nông</t>
  </si>
  <si>
    <t>Trường Tiểu học Quảng Văn</t>
  </si>
  <si>
    <t>38397502</t>
  </si>
  <si>
    <t>Tiểu học Hải Bình</t>
  </si>
  <si>
    <t>38406434</t>
  </si>
  <si>
    <t>Trường Tiểu học Quảng Hợp</t>
  </si>
  <si>
    <t>Trường TH và THCS Minh Sơn</t>
  </si>
  <si>
    <t>38406437</t>
  </si>
  <si>
    <t>38397503</t>
  </si>
  <si>
    <t>Trường Tiểu học Quảng Phúc</t>
  </si>
  <si>
    <t>38406439</t>
  </si>
  <si>
    <t>Trường THCS Thọ Cường</t>
  </si>
  <si>
    <t>38397504</t>
  </si>
  <si>
    <t>Xã Thọ Ngọc</t>
  </si>
  <si>
    <t>Trường Tiểu học Quảng Ngọc</t>
  </si>
  <si>
    <t>38406440</t>
  </si>
  <si>
    <t>Trường THCS Thọ Tân</t>
  </si>
  <si>
    <t>Tiểu học Quảng Hải</t>
  </si>
  <si>
    <t>38397505</t>
  </si>
  <si>
    <t>Tiểu học Mai Lâm</t>
  </si>
  <si>
    <t>38406413</t>
  </si>
  <si>
    <t>Trường Tiểu học Quảng Nhân</t>
  </si>
  <si>
    <t>38406414</t>
  </si>
  <si>
    <t>Trường Tiểu học Quảng Ninh</t>
  </si>
  <si>
    <t>38406424</t>
  </si>
  <si>
    <t>Trường Tiểu học Quảng Yên</t>
  </si>
  <si>
    <t>Trường THCS Tiến Nông</t>
  </si>
  <si>
    <t>38406432</t>
  </si>
  <si>
    <t>38397507</t>
  </si>
  <si>
    <t>Xã Quảng Yên</t>
  </si>
  <si>
    <t>TH&amp;THCS Queensland</t>
  </si>
  <si>
    <t>Trường Tiểu học Quảng Trạch</t>
  </si>
  <si>
    <t>38406433</t>
  </si>
  <si>
    <t>Trường THCS Dân Lực</t>
  </si>
  <si>
    <t>38397508</t>
  </si>
  <si>
    <t>Trường Tiểu học Quảng Long</t>
  </si>
  <si>
    <t>38406435</t>
  </si>
  <si>
    <t>Trường Tiểu học Quảng Hòa</t>
  </si>
  <si>
    <t>38406436</t>
  </si>
  <si>
    <t>Trường Tiểu Học Quý Lộc</t>
  </si>
  <si>
    <t>38394401</t>
  </si>
  <si>
    <t>Tiểu học Ninh Hải</t>
  </si>
  <si>
    <t>Trường THCS Thọ Tiến</t>
  </si>
  <si>
    <t>38397509</t>
  </si>
  <si>
    <t>Trường Tiểu Học Yên Thọ</t>
  </si>
  <si>
    <t>38394403</t>
  </si>
  <si>
    <t>Trường THCS Đồng Tiến</t>
  </si>
  <si>
    <t>Trường Tiểu Học Yên Lâm</t>
  </si>
  <si>
    <t>38397510</t>
  </si>
  <si>
    <t>38394405</t>
  </si>
  <si>
    <t>Trường Tiểu học Lương Nội</t>
  </si>
  <si>
    <t>38386412</t>
  </si>
  <si>
    <t>Trường THCS Xuân Thọ</t>
  </si>
  <si>
    <t>38397511</t>
  </si>
  <si>
    <t>Tiểu học Hải Lĩnh</t>
  </si>
  <si>
    <t>Trường Tiểu học Lương Ngoại</t>
  </si>
  <si>
    <t>38386416</t>
  </si>
  <si>
    <t>Trường THCS Triệu Thành</t>
  </si>
  <si>
    <t>Trường Tiểu học Lương Trung</t>
  </si>
  <si>
    <t>38397512</t>
  </si>
  <si>
    <t>38386419</t>
  </si>
  <si>
    <t>Trường Tiểu học Thọ Lâm</t>
  </si>
  <si>
    <t>38395409</t>
  </si>
  <si>
    <t>Trường THCS Thọ Vực</t>
  </si>
  <si>
    <t>38397513</t>
  </si>
  <si>
    <t>Trường Tiểu học Sao Vàng</t>
  </si>
  <si>
    <t>38395410</t>
  </si>
  <si>
    <t>TH&amp;THCS Định Hải</t>
  </si>
  <si>
    <t>Trường TH&amp;THCS Thọ Phú</t>
  </si>
  <si>
    <t>38397514</t>
  </si>
  <si>
    <t>Trường Tiểu học Xuân Sinh</t>
  </si>
  <si>
    <t>38395423</t>
  </si>
  <si>
    <t>Trường THCS Thọ Dân</t>
  </si>
  <si>
    <t>Trường Tiểu học Xuân Phú</t>
  </si>
  <si>
    <t>38397515</t>
  </si>
  <si>
    <t>38395427</t>
  </si>
  <si>
    <t>Trường Tiểu học Sơn Điện 1</t>
  </si>
  <si>
    <t>Trường THCS Hợp Thắng</t>
  </si>
  <si>
    <t>38387408</t>
  </si>
  <si>
    <t>38397516</t>
  </si>
  <si>
    <t>Trường Tiểu học Sơn Điện 2</t>
  </si>
  <si>
    <t>38387413</t>
  </si>
  <si>
    <t>Tiểu học Nam Ngạn</t>
  </si>
  <si>
    <t>Trường Tiểu học Sơn Thủy</t>
  </si>
  <si>
    <t>38387409</t>
  </si>
  <si>
    <t>Trường TH&amp;THCS Xuân Lộc</t>
  </si>
  <si>
    <t>Trường Tiểu học Tam Chung</t>
  </si>
  <si>
    <t>38397518</t>
  </si>
  <si>
    <t>38384403</t>
  </si>
  <si>
    <t>Trường Tiểu học Sơn Hà</t>
  </si>
  <si>
    <t>Trường THCS An Nông</t>
  </si>
  <si>
    <t>38387405</t>
  </si>
  <si>
    <t>38397519</t>
  </si>
  <si>
    <t>Trường Tiểu học Tam Lư</t>
  </si>
  <si>
    <t>38387406</t>
  </si>
  <si>
    <t>Tiểu học Nguyễn Bá Ngọc</t>
  </si>
  <si>
    <t>Trường THCS Vân sơn</t>
  </si>
  <si>
    <t>38397520</t>
  </si>
  <si>
    <t>Trường Tiểu học Tam Thanh</t>
  </si>
  <si>
    <t>38387407</t>
  </si>
  <si>
    <t>Trường THCS Thọ Thế</t>
  </si>
  <si>
    <t>Trường Tiểu học Vân Sơn</t>
  </si>
  <si>
    <t>38397521</t>
  </si>
  <si>
    <t>38397423</t>
  </si>
  <si>
    <t>Trường Tiểu học Tân Ninh</t>
  </si>
  <si>
    <t>Trường THCS Đồng Lợi</t>
  </si>
  <si>
    <t>38397428</t>
  </si>
  <si>
    <t>38397522</t>
  </si>
  <si>
    <t>Tiểu học Hàm Rồng</t>
  </si>
  <si>
    <t>Trường Tiểu học Thái Hòa</t>
  </si>
  <si>
    <t>38397438</t>
  </si>
  <si>
    <t>Trường THCS Dân Lý</t>
  </si>
  <si>
    <t>38397523</t>
  </si>
  <si>
    <t>Trường Tiểu Học Luận Khê 1</t>
  </si>
  <si>
    <t>38396414</t>
  </si>
  <si>
    <t>Trường THCS Đồng Thắng</t>
  </si>
  <si>
    <t>38397524</t>
  </si>
  <si>
    <t>Trường Tiểu học Tân Thành 1</t>
  </si>
  <si>
    <t>38396426</t>
  </si>
  <si>
    <t>Trường THCS Tân Ninh</t>
  </si>
  <si>
    <t>Trường Tiểu học Tân Thành 2</t>
  </si>
  <si>
    <t>38397525</t>
  </si>
  <si>
    <t>38396427</t>
  </si>
  <si>
    <t>Tiểu học Đông Cương</t>
  </si>
  <si>
    <t>Trường Tiểu Học Luận Khê 2</t>
  </si>
  <si>
    <t>Trường THCS Thọ Ngọc</t>
  </si>
  <si>
    <t>38396429</t>
  </si>
  <si>
    <t>38397527</t>
  </si>
  <si>
    <t>Trường tiểu học Nga Tiến</t>
  </si>
  <si>
    <t>38401413</t>
  </si>
  <si>
    <t>Trường THCS Nông Trường</t>
  </si>
  <si>
    <t>Xã Tân Tiến</t>
  </si>
  <si>
    <t>38397528</t>
  </si>
  <si>
    <t>Trường tiểu học Nga Thái</t>
  </si>
  <si>
    <t>38401415</t>
  </si>
  <si>
    <t>Trường THCS Hợp Thành</t>
  </si>
  <si>
    <t>38397529</t>
  </si>
  <si>
    <t>Tiểu học Thiệu Dương</t>
  </si>
  <si>
    <t>Trường THCS Hợp Lý</t>
  </si>
  <si>
    <t>38397530</t>
  </si>
  <si>
    <t>Trường tiểu học Nga Tân</t>
  </si>
  <si>
    <t>Trường THCS Thọ Bình</t>
  </si>
  <si>
    <t>38401428</t>
  </si>
  <si>
    <t>38397531</t>
  </si>
  <si>
    <t>Xã Thọ Bình</t>
  </si>
  <si>
    <t>Trường Tiểu học Vĩnh Yên</t>
  </si>
  <si>
    <t>38393412</t>
  </si>
  <si>
    <t>Trường THCS Thọ Sơn</t>
  </si>
  <si>
    <t>38397532</t>
  </si>
  <si>
    <t>Trường tiểu học Vĩnh Long</t>
  </si>
  <si>
    <t>38393414</t>
  </si>
  <si>
    <t>Trường TH và THCS Xuân Thịnh</t>
  </si>
  <si>
    <t>38397534</t>
  </si>
  <si>
    <t>Trường tiểu học Vĩnh Quang</t>
  </si>
  <si>
    <t>38393415</t>
  </si>
  <si>
    <t>Trường THCS Thái Hoà</t>
  </si>
  <si>
    <t>Tiểu học Quảng Minh</t>
  </si>
  <si>
    <t>38397535</t>
  </si>
  <si>
    <t>Trường Tiểu học Thạch Cẩm 1</t>
  </si>
  <si>
    <t>Trường THCS Triệu Thị Trinh</t>
  </si>
  <si>
    <t>38391407</t>
  </si>
  <si>
    <t>38397536</t>
  </si>
  <si>
    <t>Trường Tiểu học Thạch Cẩm 2</t>
  </si>
  <si>
    <t>38391408</t>
  </si>
  <si>
    <t>Trường TH&amp;THCS Bình Sơn</t>
  </si>
  <si>
    <t>38397537</t>
  </si>
  <si>
    <t>Tiểu học Thạch Sơn</t>
  </si>
  <si>
    <t>38391409</t>
  </si>
  <si>
    <t>Tiểu học Quảng Vinh</t>
  </si>
  <si>
    <t>Trường THCS Tô Vĩnh Diện</t>
  </si>
  <si>
    <t>38397538</t>
  </si>
  <si>
    <t>Tiểu học Thạch Bình</t>
  </si>
  <si>
    <t>38391410</t>
  </si>
  <si>
    <t>Trường Tiểu học Thạch Đồng</t>
  </si>
  <si>
    <t>Trường THCS Thiệu Ngọc</t>
  </si>
  <si>
    <t>38391414</t>
  </si>
  <si>
    <t>38398501</t>
  </si>
  <si>
    <t>Xã Thiệu Tiến</t>
  </si>
  <si>
    <t>Tiểu học Quảng Hùng</t>
  </si>
  <si>
    <t>Tiểu học Thạch Long</t>
  </si>
  <si>
    <t>38391416</t>
  </si>
  <si>
    <t>Trường THCS Thiệu Vũ</t>
  </si>
  <si>
    <t>38398502</t>
  </si>
  <si>
    <t>Trường THCS Thiệu Tiến</t>
  </si>
  <si>
    <t>Trường Tiểu Học Quang Trung</t>
  </si>
  <si>
    <t>38398503</t>
  </si>
  <si>
    <t>38389408</t>
  </si>
  <si>
    <t>Trường Tiểu học Thạch Lập 1</t>
  </si>
  <si>
    <t>Trường THCS Thiệu Thành</t>
  </si>
  <si>
    <t>38389426</t>
  </si>
  <si>
    <t>38398504</t>
  </si>
  <si>
    <t>Trường Tiểu học Thạch Lập 2</t>
  </si>
  <si>
    <t>Tiểu học Quảng Đại</t>
  </si>
  <si>
    <t>38389433</t>
  </si>
  <si>
    <t>Trường THCS Thiệu Công</t>
  </si>
  <si>
    <t>38398505</t>
  </si>
  <si>
    <t>Trường THCS Thiệu Phú</t>
  </si>
  <si>
    <t>38398506</t>
  </si>
  <si>
    <t>Trường Tiểu Học Thạch Lâm 1</t>
  </si>
  <si>
    <t>38391401</t>
  </si>
  <si>
    <t>Trường THCS Thiệu Phúc</t>
  </si>
  <si>
    <t>38398507</t>
  </si>
  <si>
    <t>TH&amp;THCS Nguyễn Xuân Nguyên</t>
  </si>
  <si>
    <t>Trường Tiểu Học Thạch Lâm 2</t>
  </si>
  <si>
    <t>38391402</t>
  </si>
  <si>
    <t>Trường THCS Vạn Hà</t>
  </si>
  <si>
    <t>Trường Tiểu Học Thạch Tượng 1</t>
  </si>
  <si>
    <t>38398508</t>
  </si>
  <si>
    <t>38391403</t>
  </si>
  <si>
    <t>Tiểu học Thạch Tượng 2</t>
  </si>
  <si>
    <t>Trường THCS Thiệu Nguyên</t>
  </si>
  <si>
    <t>38391404</t>
  </si>
  <si>
    <t>38398509</t>
  </si>
  <si>
    <t>Tiểu học Hải Hà</t>
  </si>
  <si>
    <t>Trường Tiểu Học Thạch Quảng</t>
  </si>
  <si>
    <t>38391405</t>
  </si>
  <si>
    <t>Trường THCS Thiệu Duy</t>
  </si>
  <si>
    <t>38398510</t>
  </si>
  <si>
    <t>Tiểu học Thạch Quảng 2</t>
  </si>
  <si>
    <t>38391406</t>
  </si>
  <si>
    <t>Trường THCS Thiệu Hợp</t>
  </si>
  <si>
    <t>Trường Tiểu học Thăng Bình</t>
  </si>
  <si>
    <t>38398512</t>
  </si>
  <si>
    <t>38404429</t>
  </si>
  <si>
    <t>Xã Thăng Bình</t>
  </si>
  <si>
    <t>Tiểu học Nghi Sơn</t>
  </si>
  <si>
    <t>Trường Tiểu học Thăng Thọ</t>
  </si>
  <si>
    <t>Trường THCS Thiệu Quang</t>
  </si>
  <si>
    <t>38404430</t>
  </si>
  <si>
    <t>38398513</t>
  </si>
  <si>
    <t>Trường Tiểu học Thăng Long 2</t>
  </si>
  <si>
    <t>38404431</t>
  </si>
  <si>
    <t>Trường THCS Thiệu Long</t>
  </si>
  <si>
    <t>38398514</t>
  </si>
  <si>
    <t>Trường Tiểu học Thăng Long 1</t>
  </si>
  <si>
    <t>38404436</t>
  </si>
  <si>
    <t>Tiểu học Hải Thượng</t>
  </si>
  <si>
    <t>Trường THCS Thiệu Giang</t>
  </si>
  <si>
    <t>38398515</t>
  </si>
  <si>
    <t>Trường Tiểu học Xuân Thắng</t>
  </si>
  <si>
    <t>38396401</t>
  </si>
  <si>
    <t>Trường THCS Thiệu Toán</t>
  </si>
  <si>
    <t>Trường Tiểu Học Xuân Lộc</t>
  </si>
  <si>
    <t>38398516</t>
  </si>
  <si>
    <t>38396421</t>
  </si>
  <si>
    <t>Xã Thiệu Toán</t>
  </si>
  <si>
    <t>Trường Tiểu học Trung Thành</t>
  </si>
  <si>
    <t>Tiểu học Thanh Sơn</t>
  </si>
  <si>
    <t>Trường THCS Thiệu Chính</t>
  </si>
  <si>
    <t>38404404</t>
  </si>
  <si>
    <t>38398517</t>
  </si>
  <si>
    <t>Trường Tiểu học Tế Thắng</t>
  </si>
  <si>
    <t>Trường THCS Thiệu Hòa</t>
  </si>
  <si>
    <t>38404410</t>
  </si>
  <si>
    <t>38398518</t>
  </si>
  <si>
    <t>Trường Tiểu học Tế Lợi</t>
  </si>
  <si>
    <t>38404411</t>
  </si>
  <si>
    <t>Trường THamp;THCS Thiệu Minh</t>
  </si>
  <si>
    <t>Tiểu học Hải Châu</t>
  </si>
  <si>
    <t>38398519</t>
  </si>
  <si>
    <t>Trường Tiểu học Tế Nông</t>
  </si>
  <si>
    <t>38404413</t>
  </si>
  <si>
    <t>Trường THCS Thiệu Tâm</t>
  </si>
  <si>
    <t>Trường Tiểu học Thanh Kỳ</t>
  </si>
  <si>
    <t>38398520</t>
  </si>
  <si>
    <t>38403412</t>
  </si>
  <si>
    <t>Trường Tiểu học Thanh Tân 2</t>
  </si>
  <si>
    <t>Trường THCS Thiệu Lý</t>
  </si>
  <si>
    <t>Tiểu học Hải Ninh</t>
  </si>
  <si>
    <t>38403413</t>
  </si>
  <si>
    <t>38398521</t>
  </si>
  <si>
    <t>Trường Tiểu học Thanh Tân 1</t>
  </si>
  <si>
    <t>38403421</t>
  </si>
  <si>
    <t>Trường Tiểu Học Thanh Lâm</t>
  </si>
  <si>
    <t>Trường THCS Thiệu Viên</t>
  </si>
  <si>
    <t>38402404</t>
  </si>
  <si>
    <t>38398522</t>
  </si>
  <si>
    <t>Xã Thanh Phong</t>
  </si>
  <si>
    <t>Trường Tiểu Học Thanh Phong</t>
  </si>
  <si>
    <t>38402412</t>
  </si>
  <si>
    <t>Trường TH&amp;THCS Thiệu Vận</t>
  </si>
  <si>
    <t>38398523</t>
  </si>
  <si>
    <t>Trường THamp;THCS Thanh Hòa</t>
  </si>
  <si>
    <t>38402517</t>
  </si>
  <si>
    <t>Trường THCS Thiệu Trung</t>
  </si>
  <si>
    <t>Trường Tiểu Học Thanh Sơn</t>
  </si>
  <si>
    <t>Tiểu học Thanh Thuỷ</t>
  </si>
  <si>
    <t>38398524</t>
  </si>
  <si>
    <t>38402405</t>
  </si>
  <si>
    <t>Trường Tiểu học Thanh Quân</t>
  </si>
  <si>
    <t>Trường THCS Thiệu Đô</t>
  </si>
  <si>
    <t>38402411</t>
  </si>
  <si>
    <t>38398525</t>
  </si>
  <si>
    <t>Trường Tiểu học Thanh xuân</t>
  </si>
  <si>
    <t>38402413</t>
  </si>
  <si>
    <t>Trường Tiểu học Thành Yên</t>
  </si>
  <si>
    <t>38391418</t>
  </si>
  <si>
    <t>Tiểu học Thành Mỹ</t>
  </si>
  <si>
    <t>38391419</t>
  </si>
  <si>
    <t>Trường THCS Thiệu Khánh</t>
  </si>
  <si>
    <t>Trường Tiểu học Thành Vinh</t>
  </si>
  <si>
    <t>38398529</t>
  </si>
  <si>
    <t>38391420</t>
  </si>
  <si>
    <t>Tiểu học Thành Minh 1</t>
  </si>
  <si>
    <t>Trường THCS Thiệu Dương</t>
  </si>
  <si>
    <t>38391432</t>
  </si>
  <si>
    <t>38398531</t>
  </si>
  <si>
    <t>Tiểu học Thành Minh 2</t>
  </si>
  <si>
    <t>38391433</t>
  </si>
  <si>
    <t>Trường TH&amp;THCS Thiệu Thịnh</t>
  </si>
  <si>
    <t>38398728</t>
  </si>
  <si>
    <t>Trường Tiểu học Thiên Phủ</t>
  </si>
  <si>
    <t>38385406</t>
  </si>
  <si>
    <t>Trường Tiểu học Nam Động</t>
  </si>
  <si>
    <t>38385415</t>
  </si>
  <si>
    <t>Trường Tiểu học Thiết Kế</t>
  </si>
  <si>
    <t>Trường THCS Hoằng Giang</t>
  </si>
  <si>
    <t>38386409</t>
  </si>
  <si>
    <t>38399501</t>
  </si>
  <si>
    <t>Trường Tiểu học Thiết Ống</t>
  </si>
  <si>
    <t>38386424</t>
  </si>
  <si>
    <t>Trường THCS Hoằng Xuân</t>
  </si>
  <si>
    <t>38399503</t>
  </si>
  <si>
    <t>Trường THCS Hoằng Phượng</t>
  </si>
  <si>
    <t>38399504</t>
  </si>
  <si>
    <t>Trường Tiểu học Thiệu Công</t>
  </si>
  <si>
    <t>38398405</t>
  </si>
  <si>
    <t>Trường Tiểu học Thiệu Phú</t>
  </si>
  <si>
    <t>38398406</t>
  </si>
  <si>
    <t>Trường Tiểu học Thiệu Phúc</t>
  </si>
  <si>
    <t>38398407</t>
  </si>
  <si>
    <t>Trường THCS Hoằng Quý</t>
  </si>
  <si>
    <t>38399506</t>
  </si>
  <si>
    <t>Trường Tiểu học Vạn Hà</t>
  </si>
  <si>
    <t>38398408</t>
  </si>
  <si>
    <t>Trường THCS Hoằng Kim</t>
  </si>
  <si>
    <t>38399507</t>
  </si>
  <si>
    <t>Trường Tiểu học Thiệu Nguyên</t>
  </si>
  <si>
    <t>38398409</t>
  </si>
  <si>
    <t>Trường THCS Hoằng Trung</t>
  </si>
  <si>
    <t>38399508</t>
  </si>
  <si>
    <t>Trường Tiểu học Thiệu Long</t>
  </si>
  <si>
    <t>38398414</t>
  </si>
  <si>
    <t>Trường Tiểu học Thiệu Duy</t>
  </si>
  <si>
    <t>38398410</t>
  </si>
  <si>
    <t>Trường Tiểu học Thiệu Hợp</t>
  </si>
  <si>
    <t>Trường THCS Hoằng Trinh</t>
  </si>
  <si>
    <t>38398412</t>
  </si>
  <si>
    <t>38399510</t>
  </si>
  <si>
    <t>Trường Tiểu học Thiệu Quang</t>
  </si>
  <si>
    <t>38398413</t>
  </si>
  <si>
    <t>Trường Tiểu học Thiệu Giang</t>
  </si>
  <si>
    <t>38398415</t>
  </si>
  <si>
    <t>Trường THCS Hoằng Xuyên</t>
  </si>
  <si>
    <t>38399512</t>
  </si>
  <si>
    <t>Trường THCS Hoằng Cát</t>
  </si>
  <si>
    <t>Trường Tiểu học Thiệu Ngọc</t>
  </si>
  <si>
    <t>38399513</t>
  </si>
  <si>
    <t>38398401</t>
  </si>
  <si>
    <t>Trường Tiểu học Thiệu Vũ</t>
  </si>
  <si>
    <t>Trường THCS Tào Xuyên</t>
  </si>
  <si>
    <t>38398402</t>
  </si>
  <si>
    <t>38399515</t>
  </si>
  <si>
    <t>Trường Tiểu học Thiệu Tiến</t>
  </si>
  <si>
    <t>38398403</t>
  </si>
  <si>
    <t>38399516</t>
  </si>
  <si>
    <t>Trường Tiểu học Thiệu Thành</t>
  </si>
  <si>
    <t>38398404</t>
  </si>
  <si>
    <t>Trường THCS Hoằng Hợp</t>
  </si>
  <si>
    <t>Trường Tiểu học Thiệu Toán</t>
  </si>
  <si>
    <t>38399517</t>
  </si>
  <si>
    <t>38398416</t>
  </si>
  <si>
    <t>Trường Tiểu học Thiệu Chính</t>
  </si>
  <si>
    <t>Trường THCS Hoằng Quang</t>
  </si>
  <si>
    <t>38398417</t>
  </si>
  <si>
    <t>38399518</t>
  </si>
  <si>
    <t>Trường Tiểu học Thiệu Hòa</t>
  </si>
  <si>
    <t>38398418</t>
  </si>
  <si>
    <t>Trường Tiểu học Thiệu Tâm</t>
  </si>
  <si>
    <t>38398420</t>
  </si>
  <si>
    <t>Trường THCS Long Anh</t>
  </si>
  <si>
    <t>38399519</t>
  </si>
  <si>
    <t>Trường Tiểu học Thiệu Lý</t>
  </si>
  <si>
    <t>38398421</t>
  </si>
  <si>
    <t>Trường Tiểu học Thiệu Viên</t>
  </si>
  <si>
    <t>38398422</t>
  </si>
  <si>
    <t>Trường THCS Bút Sơn</t>
  </si>
  <si>
    <t>38399522</t>
  </si>
  <si>
    <t>Trường Tiểu học Thiệu Trung</t>
  </si>
  <si>
    <t>38398424</t>
  </si>
  <si>
    <t>Trường Tiểu học Thiệu Đô</t>
  </si>
  <si>
    <t>38398425</t>
  </si>
  <si>
    <t>Trường Tiểu học Thọ Sơn</t>
  </si>
  <si>
    <t>38397434</t>
  </si>
  <si>
    <t>Trường THCS Hoằng Đạt</t>
  </si>
  <si>
    <t>38399525</t>
  </si>
  <si>
    <t>Trường Tiểu học Thọ Bình</t>
  </si>
  <si>
    <t>38397439</t>
  </si>
  <si>
    <t>Trường THCS Hoằng Thịnh</t>
  </si>
  <si>
    <t>Trường Tiểu học Xuân Thiên</t>
  </si>
  <si>
    <t>38399528</t>
  </si>
  <si>
    <t>38395419</t>
  </si>
  <si>
    <t>Trường Tiểu Học Thuận Minh</t>
  </si>
  <si>
    <t>Trường THCS Hoằng Thái</t>
  </si>
  <si>
    <t>38395426</t>
  </si>
  <si>
    <t>38399529</t>
  </si>
  <si>
    <t>Trường Tiểu học Thọ Lập</t>
  </si>
  <si>
    <t>38395430</t>
  </si>
  <si>
    <t>Trường THCS Tố Như - Hoằng Lộc</t>
  </si>
  <si>
    <t>38399530</t>
  </si>
  <si>
    <t>Trường Tiểu học Xuân Phong</t>
  </si>
  <si>
    <t>38395405</t>
  </si>
  <si>
    <t>Trường THCS Hoằng Thành</t>
  </si>
  <si>
    <t>Trường Tiểu học Bắc Lương</t>
  </si>
  <si>
    <t>38399531</t>
  </si>
  <si>
    <t>38395406</t>
  </si>
  <si>
    <t>Trường Tiểu học Nam Giang</t>
  </si>
  <si>
    <t>Trường THCS Hoằng Trạch</t>
  </si>
  <si>
    <t>38395417</t>
  </si>
  <si>
    <t>38399532</t>
  </si>
  <si>
    <t>Trường Tiểu học Tây Hồ</t>
  </si>
  <si>
    <t>38395420</t>
  </si>
  <si>
    <t>Trường THCS Hoằng Đại</t>
  </si>
  <si>
    <t>TH&amp;THCS Triêu Dương</t>
  </si>
  <si>
    <t>38399533</t>
  </si>
  <si>
    <t>Trường Tiểu học Thọ Lộc</t>
  </si>
  <si>
    <t>38395432</t>
  </si>
  <si>
    <t>Trường THCS Hoằng Phong</t>
  </si>
  <si>
    <t>Trường Tiểu học Thọ Cường</t>
  </si>
  <si>
    <t>38399534</t>
  </si>
  <si>
    <t>38397405</t>
  </si>
  <si>
    <t>Trường Tiểu học Thọ Tiến</t>
  </si>
  <si>
    <t>Trường THCS Hoằng Lưu</t>
  </si>
  <si>
    <t>38397410</t>
  </si>
  <si>
    <t>38399535</t>
  </si>
  <si>
    <t>Trường Tiểu học Xuân Thọ</t>
  </si>
  <si>
    <t>38397413</t>
  </si>
  <si>
    <t>Trường THCS Hoằng Châu</t>
  </si>
  <si>
    <t>38399536</t>
  </si>
  <si>
    <t>Trường Tiểu học Thọ Ngọc</t>
  </si>
  <si>
    <t>38397429</t>
  </si>
  <si>
    <t>Trường Tiểu học Thọ Tân</t>
  </si>
  <si>
    <t>Trường THCS Hoằng Tân</t>
  </si>
  <si>
    <t>38397406</t>
  </si>
  <si>
    <t>38399537</t>
  </si>
  <si>
    <t>Trường Tiểu học Thọ Vực</t>
  </si>
  <si>
    <t>Trường THCS Hoằng Đạo</t>
  </si>
  <si>
    <t>38397415</t>
  </si>
  <si>
    <t>38399538</t>
  </si>
  <si>
    <t>Tiểu học Tào Xuyên</t>
  </si>
  <si>
    <t>Trường THCS Hoằng Thắng</t>
  </si>
  <si>
    <t>38399539</t>
  </si>
  <si>
    <t>Trường Tiểu học Thọ Dân</t>
  </si>
  <si>
    <t>Tiểu học Hoằng Quang</t>
  </si>
  <si>
    <t>38397418</t>
  </si>
  <si>
    <t>Trường Tiểu học Thọ Thế</t>
  </si>
  <si>
    <t>Trường THCS Lê Quang Trường</t>
  </si>
  <si>
    <t>38397424</t>
  </si>
  <si>
    <t>38399541</t>
  </si>
  <si>
    <t>Trường THCS Hoằng Hải</t>
  </si>
  <si>
    <t>38399542</t>
  </si>
  <si>
    <t>Trường THCS Hoằng Trường</t>
  </si>
  <si>
    <t>Tiểu học Hoằng Long</t>
  </si>
  <si>
    <t>38399543</t>
  </si>
  <si>
    <t>Trường THCS Hoằng Đông</t>
  </si>
  <si>
    <t>Trường Tiểu học Xuân Trường</t>
  </si>
  <si>
    <t>38399544</t>
  </si>
  <si>
    <t>38395401</t>
  </si>
  <si>
    <t>Trường Tiểu học Thọ Xuân</t>
  </si>
  <si>
    <t>Trường THCS Hoằng Thanh</t>
  </si>
  <si>
    <t>38395408</t>
  </si>
  <si>
    <t>38399545</t>
  </si>
  <si>
    <t>Tiểu học Hoằng Anh</t>
  </si>
  <si>
    <t>Trường Tiểu học Xuân Hồng</t>
  </si>
  <si>
    <t>38395414</t>
  </si>
  <si>
    <t>Trường THCS Hoằng Phụ</t>
  </si>
  <si>
    <t>38399546</t>
  </si>
  <si>
    <t>Trường Tiểu học Xuân Giang</t>
  </si>
  <si>
    <t>38395438</t>
  </si>
  <si>
    <t>Trường THCS Hoằng Ngọc</t>
  </si>
  <si>
    <t>38399547</t>
  </si>
  <si>
    <t>Tiểu học Thượng Ninh</t>
  </si>
  <si>
    <t>38402409</t>
  </si>
  <si>
    <t>Xã Thượng Ninh</t>
  </si>
  <si>
    <t>Tiểu học Hoằng Đại</t>
  </si>
  <si>
    <t>Trường Tiểu học Cát Tân</t>
  </si>
  <si>
    <t>Trường THCS Nhữ Bá Sỹ</t>
  </si>
  <si>
    <t>38402414</t>
  </si>
  <si>
    <t>Trường THamp;THCS Cát Vân</t>
  </si>
  <si>
    <t>38399549</t>
  </si>
  <si>
    <t>38402504</t>
  </si>
  <si>
    <t>Trường Tiểu Học Xuân Cẩm</t>
  </si>
  <si>
    <t>38396403</t>
  </si>
  <si>
    <t>TH&amp;THCS&amp;THPT FPT</t>
  </si>
  <si>
    <t>Trường Tiểu Học Xuân Dương</t>
  </si>
  <si>
    <t>38396409</t>
  </si>
  <si>
    <t>Trường THCS Lộc Tân</t>
  </si>
  <si>
    <t>38400502</t>
  </si>
  <si>
    <t>Trường Tiểu học Thường Xuân</t>
  </si>
  <si>
    <t>38396410</t>
  </si>
  <si>
    <t>Trường Tiểu học Thọ Thanh</t>
  </si>
  <si>
    <t>Trường THCS Hoa Lộc</t>
  </si>
  <si>
    <t>38396411</t>
  </si>
  <si>
    <t>38400503</t>
  </si>
  <si>
    <t>Trường Tiểu Học Ngọc Phụng 2</t>
  </si>
  <si>
    <t>38396420</t>
  </si>
  <si>
    <t>TRƯỜNG THCS XUÂN LỘC</t>
  </si>
  <si>
    <t>38400504</t>
  </si>
  <si>
    <t>Trường THCS Tuy Lộc</t>
  </si>
  <si>
    <t>38400505</t>
  </si>
  <si>
    <t>Trường THCS Đại Lộc</t>
  </si>
  <si>
    <t>38400506</t>
  </si>
  <si>
    <t>Trường THCS Triệu Lộc</t>
  </si>
  <si>
    <t>38400507</t>
  </si>
  <si>
    <t>Trường THCS Tiến Lộc</t>
  </si>
  <si>
    <t>38400508</t>
  </si>
  <si>
    <t>Trường THCS Ngư Lộc</t>
  </si>
  <si>
    <t>38400509</t>
  </si>
  <si>
    <t>Trường THCS Hậu Lộc</t>
  </si>
  <si>
    <t>38400510</t>
  </si>
  <si>
    <t>Trường THCS Minh Lộc</t>
  </si>
  <si>
    <t>38400511</t>
  </si>
  <si>
    <t>Trường THCS Hải Lộc</t>
  </si>
  <si>
    <t>38400512</t>
  </si>
  <si>
    <t>Trường THCS Cầu Lộc</t>
  </si>
  <si>
    <t>38400513</t>
  </si>
  <si>
    <t>Trường THCS Phú Lộc</t>
  </si>
  <si>
    <t>38400514</t>
  </si>
  <si>
    <t>Trường THCS Đa Lộc</t>
  </si>
  <si>
    <t>38400515</t>
  </si>
  <si>
    <t>Trường THCS Thành Lộc</t>
  </si>
  <si>
    <t>38400517</t>
  </si>
  <si>
    <t>Trường THCS Đồng Lộc</t>
  </si>
  <si>
    <t>38400518</t>
  </si>
  <si>
    <t>Trường THCS Thuần Lộc</t>
  </si>
  <si>
    <t>38400520</t>
  </si>
  <si>
    <t>Trường THCS Quang Lộc</t>
  </si>
  <si>
    <t>38400522</t>
  </si>
  <si>
    <t>Trường THCS Lê Hữu Lập</t>
  </si>
  <si>
    <t>38400523</t>
  </si>
  <si>
    <t>Trường THCS Liên Lộc</t>
  </si>
  <si>
    <t>38400525</t>
  </si>
  <si>
    <t>Trường THCS Hưng Lộc</t>
  </si>
  <si>
    <t>38400526</t>
  </si>
  <si>
    <t>Trường THCS Hòa Lộc</t>
  </si>
  <si>
    <t>38400527</t>
  </si>
  <si>
    <t>Trường THCS Nga Phượng 1</t>
  </si>
  <si>
    <t>38401501</t>
  </si>
  <si>
    <t>Trường THCS Nga Thắng</t>
  </si>
  <si>
    <t>38401502</t>
  </si>
  <si>
    <t>Trường THCS Nga Thuỷ</t>
  </si>
  <si>
    <t>38401503</t>
  </si>
  <si>
    <t>Trường THCS Nga Hải</t>
  </si>
  <si>
    <t>38401505</t>
  </si>
  <si>
    <t>Trường THCS Nga Liên</t>
  </si>
  <si>
    <t>38401506</t>
  </si>
  <si>
    <t>Trường THCS Nga Giáp</t>
  </si>
  <si>
    <t>38401508</t>
  </si>
  <si>
    <t>Trường THCS Nga Thành</t>
  </si>
  <si>
    <t>38401509</t>
  </si>
  <si>
    <t>Trường THCS Nga Thạch</t>
  </si>
  <si>
    <t>38401510</t>
  </si>
  <si>
    <t>Trường THCS Nga Phượng 2</t>
  </si>
  <si>
    <t>38401511</t>
  </si>
  <si>
    <t>Trường THCS Nga Tiến</t>
  </si>
  <si>
    <t>38401512</t>
  </si>
  <si>
    <t>Trường THCS Nga Điền</t>
  </si>
  <si>
    <t>38401513</t>
  </si>
  <si>
    <t>Trường THCS Nga Thái</t>
  </si>
  <si>
    <t>38401514</t>
  </si>
  <si>
    <t>Trường THCS Nga Phú</t>
  </si>
  <si>
    <t>38401515</t>
  </si>
  <si>
    <t>Trường THCS Nga Thanh</t>
  </si>
  <si>
    <t>38401516</t>
  </si>
  <si>
    <t>Trường THCS Nga Tân</t>
  </si>
  <si>
    <t>38401517</t>
  </si>
  <si>
    <t>Tiểu học Quảng Hưng</t>
  </si>
  <si>
    <t>Trường THCS Nga Trung</t>
  </si>
  <si>
    <t>38401518</t>
  </si>
  <si>
    <t>Trường THCS Nga Yên</t>
  </si>
  <si>
    <t>38401519</t>
  </si>
  <si>
    <t>Trường Tiểu Học Ngọc Phụng 1</t>
  </si>
  <si>
    <t>38396425</t>
  </si>
  <si>
    <t>Trường THCS Nga Sơn</t>
  </si>
  <si>
    <t>38401521</t>
  </si>
  <si>
    <t>Trường Tiểu học Tiên Trang</t>
  </si>
  <si>
    <t>38406415</t>
  </si>
  <si>
    <t>Trường THCS Nga Bạch</t>
  </si>
  <si>
    <t>Tiểu học QUẢNG THÀNH</t>
  </si>
  <si>
    <t>Trường Tiểu học Quảng Nham 1</t>
  </si>
  <si>
    <t>38401522</t>
  </si>
  <si>
    <t>38406417</t>
  </si>
  <si>
    <t>Trường Tiểu học Quảng Thạch</t>
  </si>
  <si>
    <t>38406418</t>
  </si>
  <si>
    <t>Trường THCS Nga Trường</t>
  </si>
  <si>
    <t>38401523</t>
  </si>
  <si>
    <t>Trường Tiểu học Quảng Nham 2</t>
  </si>
  <si>
    <t>38406443</t>
  </si>
  <si>
    <t>Trường THCS Nga Thiện</t>
  </si>
  <si>
    <t>Trường tiểu hoc Hà Tân</t>
  </si>
  <si>
    <t>38401524</t>
  </si>
  <si>
    <t>38392404</t>
  </si>
  <si>
    <t>Tiểu học Hermann Gmeiner</t>
  </si>
  <si>
    <t>Trường tiểu học Hà Sơn</t>
  </si>
  <si>
    <t>38392425</t>
  </si>
  <si>
    <t>38401526</t>
  </si>
  <si>
    <t>Trường tiểu học Hà Lĩnh</t>
  </si>
  <si>
    <t>38392426</t>
  </si>
  <si>
    <t>Trường THCS Chu Văn An</t>
  </si>
  <si>
    <t>38401527</t>
  </si>
  <si>
    <t>Trường Tiểu học Hà Tiến</t>
  </si>
  <si>
    <t>38392428</t>
  </si>
  <si>
    <t>Trường THCS Nga An</t>
  </si>
  <si>
    <t>Trường Tiểu học Đại Lộc</t>
  </si>
  <si>
    <t>38401528</t>
  </si>
  <si>
    <t>38400401</t>
  </si>
  <si>
    <t>TH&amp;THCS&amp;THPT QTHSCHOOL</t>
  </si>
  <si>
    <t>Trường Tiểu học Triệu Lộc</t>
  </si>
  <si>
    <t>38400405</t>
  </si>
  <si>
    <t>Trường Tiểu học Tiến Lộc</t>
  </si>
  <si>
    <t>38400406</t>
  </si>
  <si>
    <t>Trường THCS Hóa Quỳ</t>
  </si>
  <si>
    <t>38402502</t>
  </si>
  <si>
    <t>Trường Tiểu học Châu Lộc</t>
  </si>
  <si>
    <t>38400428</t>
  </si>
  <si>
    <t>Tiểu học Quảng Phú</t>
  </si>
  <si>
    <t>38397404</t>
  </si>
  <si>
    <t>38397407</t>
  </si>
  <si>
    <t>Trường THCS Bãi Trành</t>
  </si>
  <si>
    <t>38402505</t>
  </si>
  <si>
    <t>Trường Tiểu học Dân Lực</t>
  </si>
  <si>
    <t>38397409</t>
  </si>
  <si>
    <t>Trường Tiểu học Dân Quyền</t>
  </si>
  <si>
    <t>Trường THCS Thượng Ninh</t>
  </si>
  <si>
    <t>38397412</t>
  </si>
  <si>
    <t>38402506</t>
  </si>
  <si>
    <t>Tiểu học Quảng Tâm</t>
  </si>
  <si>
    <t>38397416</t>
  </si>
  <si>
    <t>Trường PTDT NT THCS Như Xuân</t>
  </si>
  <si>
    <t>38402507</t>
  </si>
  <si>
    <t>Trường Tiểu học Dân Lý</t>
  </si>
  <si>
    <t>38397426</t>
  </si>
  <si>
    <t>Trường THCS Thanh Phong</t>
  </si>
  <si>
    <t>38402509</t>
  </si>
  <si>
    <t>Trường Tiểu học Tân Thọ</t>
  </si>
  <si>
    <t>Trường THCS Thanh Xuân</t>
  </si>
  <si>
    <t>Tiểu học Quảng Cát</t>
  </si>
  <si>
    <t>38404401</t>
  </si>
  <si>
    <t>38402510</t>
  </si>
  <si>
    <t>Trường Tiểu học Tân Khang</t>
  </si>
  <si>
    <t>38404402</t>
  </si>
  <si>
    <t>Trường THCS Thanh Lâm</t>
  </si>
  <si>
    <t>38402512</t>
  </si>
  <si>
    <t>38404403</t>
  </si>
  <si>
    <t>Tiểu học Quảng Thịnh</t>
  </si>
  <si>
    <t>Trường Tiểu học Trung Chính</t>
  </si>
  <si>
    <t>38404406</t>
  </si>
  <si>
    <t>Trường THCS Cát Tân</t>
  </si>
  <si>
    <t>38402513</t>
  </si>
  <si>
    <t>Trường Tiểu học Hoàng Giang</t>
  </si>
  <si>
    <t>38404408</t>
  </si>
  <si>
    <t>Trường THCS Yên Cát</t>
  </si>
  <si>
    <t>38402514</t>
  </si>
  <si>
    <t>Trường Tiểu học Hoàng Sơn</t>
  </si>
  <si>
    <t>38404409</t>
  </si>
  <si>
    <t>Trường Tiểu học Trung Hạ</t>
  </si>
  <si>
    <t>Trường THCS Xuân Bình</t>
  </si>
  <si>
    <t>38387402</t>
  </si>
  <si>
    <t>38402515</t>
  </si>
  <si>
    <t>Trường Tiểu học Trung Tiến</t>
  </si>
  <si>
    <t>38387403</t>
  </si>
  <si>
    <t>Trường THCS Thanh Sơn</t>
  </si>
  <si>
    <t>38402516</t>
  </si>
  <si>
    <t>Tiểu học Quảng Đông</t>
  </si>
  <si>
    <t>Trường Tiểu học Trung Lý 1</t>
  </si>
  <si>
    <t>38384401</t>
  </si>
  <si>
    <t>Trường Tiểu học Trung Lý 2</t>
  </si>
  <si>
    <t>38384409</t>
  </si>
  <si>
    <t>Trường Tiểu học Trung Sơn</t>
  </si>
  <si>
    <t>TH&amp;THCS Quang Trung</t>
  </si>
  <si>
    <t>38402519</t>
  </si>
  <si>
    <t>38385412</t>
  </si>
  <si>
    <t>Trường Tiểu học Thành Sơn</t>
  </si>
  <si>
    <t>38385402</t>
  </si>
  <si>
    <t>38403501</t>
  </si>
  <si>
    <t>Xã Yên Thọ</t>
  </si>
  <si>
    <t>38385408</t>
  </si>
  <si>
    <t>Trường THCS Xuân Khang</t>
  </si>
  <si>
    <t>38403502</t>
  </si>
  <si>
    <t>Trường Tiểu học Trường Lâm</t>
  </si>
  <si>
    <t>38407415</t>
  </si>
  <si>
    <t>Xã Trường Lâm</t>
  </si>
  <si>
    <t>Trường THCS Xuân Phúc</t>
  </si>
  <si>
    <t>38403504</t>
  </si>
  <si>
    <t>Trường Tiểu học Tân Trường</t>
  </si>
  <si>
    <t>38407428</t>
  </si>
  <si>
    <t>Trường Tiểu học Trường Minh</t>
  </si>
  <si>
    <t>Trường PTDTBT THCS Thanh Tân</t>
  </si>
  <si>
    <t>38404420</t>
  </si>
  <si>
    <t>38403505</t>
  </si>
  <si>
    <t>Trường Tiểu học Trường Trung</t>
  </si>
  <si>
    <t>38404421</t>
  </si>
  <si>
    <t>Trường THCS Thanh Kỳ</t>
  </si>
  <si>
    <t>38403506</t>
  </si>
  <si>
    <t>Trường Tiểu học Trường Giang 1</t>
  </si>
  <si>
    <t>38404422</t>
  </si>
  <si>
    <t>Trường THCS Xuân Thái</t>
  </si>
  <si>
    <t>38403507</t>
  </si>
  <si>
    <t>Trường Tiểu học Trường Giang 2</t>
  </si>
  <si>
    <t>Xã Xuân Thái</t>
  </si>
  <si>
    <t>38404423</t>
  </si>
  <si>
    <t>Trường THCS Xuân Du</t>
  </si>
  <si>
    <t>38403509</t>
  </si>
  <si>
    <t>38404424</t>
  </si>
  <si>
    <t>Trường Tiểu học Tượng Văn</t>
  </si>
  <si>
    <t>Trường THCS Cán Khê</t>
  </si>
  <si>
    <t>38404425</t>
  </si>
  <si>
    <t>38403510</t>
  </si>
  <si>
    <t>Xã Tượng Lĩnh</t>
  </si>
  <si>
    <t>Trường Tiểu học Tượng Lĩnh</t>
  </si>
  <si>
    <t>Trường THCS Mậu Lâm</t>
  </si>
  <si>
    <t>38404426</t>
  </si>
  <si>
    <t>38403511</t>
  </si>
  <si>
    <t>Trường Tiểu học Tượng Sơn</t>
  </si>
  <si>
    <t>Trường THCS Bến Sung</t>
  </si>
  <si>
    <t>38404427</t>
  </si>
  <si>
    <t>38403512</t>
  </si>
  <si>
    <t>Tiểu học Thành Công</t>
  </si>
  <si>
    <t>38391434</t>
  </si>
  <si>
    <t>38403513</t>
  </si>
  <si>
    <t>Trường Tiểu Học Thành Tân</t>
  </si>
  <si>
    <t>38391435</t>
  </si>
  <si>
    <t>Trường THCS Phú Nhuận</t>
  </si>
  <si>
    <t>38403514</t>
  </si>
  <si>
    <t>Tiểu học Thành Vân</t>
  </si>
  <si>
    <t>38391437</t>
  </si>
  <si>
    <t>Trường THCS Hải Long</t>
  </si>
  <si>
    <t>38403515</t>
  </si>
  <si>
    <t>Tiểu học Vân Du</t>
  </si>
  <si>
    <t>38391438</t>
  </si>
  <si>
    <t>Trường PTDTNT THCS Như Thanh</t>
  </si>
  <si>
    <t>Trường Tiểu học Đa Lộc</t>
  </si>
  <si>
    <t>38403017</t>
  </si>
  <si>
    <t>38400402</t>
  </si>
  <si>
    <t>Trường Tiểu học Ngư Lộc 2</t>
  </si>
  <si>
    <t>Trường THCS Tân Thọ</t>
  </si>
  <si>
    <t>38400411</t>
  </si>
  <si>
    <t>38404501</t>
  </si>
  <si>
    <t>Trường Tiểu học Hải Lộc</t>
  </si>
  <si>
    <t>38400413</t>
  </si>
  <si>
    <t>Trường THCS Tân Khang</t>
  </si>
  <si>
    <t>38404502</t>
  </si>
  <si>
    <t>Trường Tiểu học Hưng Lộc 1</t>
  </si>
  <si>
    <t>38400414</t>
  </si>
  <si>
    <t>Trường Tiểu học Ngư Lộc 1</t>
  </si>
  <si>
    <t>38404503</t>
  </si>
  <si>
    <t>38400416</t>
  </si>
  <si>
    <t>Trường Tiểu học Minh Lộc 1</t>
  </si>
  <si>
    <t>38404504</t>
  </si>
  <si>
    <t>38400427</t>
  </si>
  <si>
    <t>Trường Tiểu học Minh Lộc 2</t>
  </si>
  <si>
    <t>Trường THCS Công Chính</t>
  </si>
  <si>
    <t>38400432</t>
  </si>
  <si>
    <t>38404505</t>
  </si>
  <si>
    <t>Trường Tiểu học Hưng Lộc 2</t>
  </si>
  <si>
    <t>38400433</t>
  </si>
  <si>
    <t>Trường THCS Trung Chính</t>
  </si>
  <si>
    <t>38404506</t>
  </si>
  <si>
    <t>Trường Tiểu học Văn Nho</t>
  </si>
  <si>
    <t>38386403</t>
  </si>
  <si>
    <t>Trường THCS Hoàng Giang</t>
  </si>
  <si>
    <t>38404508</t>
  </si>
  <si>
    <t>Trường Tiểu học Kỳ Tân</t>
  </si>
  <si>
    <t>38386408</t>
  </si>
  <si>
    <t>Trường THCS Hoàng Sơn</t>
  </si>
  <si>
    <t>Trường Tiểu Học Lâm Phú</t>
  </si>
  <si>
    <t>38404509</t>
  </si>
  <si>
    <t>38388402</t>
  </si>
  <si>
    <t>Trường THCS Tế Thắng</t>
  </si>
  <si>
    <t>38404510</t>
  </si>
  <si>
    <t>Trường Tiểu Học Vạn Xuân</t>
  </si>
  <si>
    <t>38396417</t>
  </si>
  <si>
    <t>Trường THCS Tế Lợi</t>
  </si>
  <si>
    <t>38404511</t>
  </si>
  <si>
    <t>Trường tiểu học Vĩnh Hòa</t>
  </si>
  <si>
    <t>38393406</t>
  </si>
  <si>
    <t>Trường Tiểu học Vĩnh Ninh</t>
  </si>
  <si>
    <t>Trường THCS Tế Nông</t>
  </si>
  <si>
    <t>38393408</t>
  </si>
  <si>
    <t>38404513</t>
  </si>
  <si>
    <t>Trường tiểu học Vĩnh Thành</t>
  </si>
  <si>
    <t>38393409</t>
  </si>
  <si>
    <t>Trường THCS Minh Thọ</t>
  </si>
  <si>
    <t>38404514</t>
  </si>
  <si>
    <t>Trường tiểu học Vĩnh Phúc</t>
  </si>
  <si>
    <t>38393410</t>
  </si>
  <si>
    <t>Trường tiểu học Vĩnh Hưng</t>
  </si>
  <si>
    <t>Trường THCS Minh Khôi</t>
  </si>
  <si>
    <t>38393411</t>
  </si>
  <si>
    <t>38404515</t>
  </si>
  <si>
    <t>Trường Tiểu học Vĩnh Lộc</t>
  </si>
  <si>
    <t>38393417</t>
  </si>
  <si>
    <t>Trường THCS Minh Nghĩa</t>
  </si>
  <si>
    <t>38404516</t>
  </si>
  <si>
    <t>Trường THCS Vạn Hòa</t>
  </si>
  <si>
    <t>38404517</t>
  </si>
  <si>
    <t>Trường THCS Vạn Thắng</t>
  </si>
  <si>
    <t>38404518</t>
  </si>
  <si>
    <t>Trường THCS Vạn Thiện</t>
  </si>
  <si>
    <t>Trường Tiểu Học Xuân Bình</t>
  </si>
  <si>
    <t>38404519</t>
  </si>
  <si>
    <t>38402401</t>
  </si>
  <si>
    <t>Trường Tiểu Học Bãi Trành</t>
  </si>
  <si>
    <t>Trường THCS Trường Minh</t>
  </si>
  <si>
    <t>38402402</t>
  </si>
  <si>
    <t>38404520</t>
  </si>
  <si>
    <t>Trường Tiểu Học Xuân Hòa</t>
  </si>
  <si>
    <t>38402419</t>
  </si>
  <si>
    <t>Trường THCS Trường Trung</t>
  </si>
  <si>
    <t>Trường Tiểu Học Xuân Chinh</t>
  </si>
  <si>
    <t>38404521</t>
  </si>
  <si>
    <t>38396415</t>
  </si>
  <si>
    <t>Trường Tiểu học Xuân Lẹ</t>
  </si>
  <si>
    <t>Trường THCS Trường Giang</t>
  </si>
  <si>
    <t>38396422</t>
  </si>
  <si>
    <t>38404522</t>
  </si>
  <si>
    <t>Trường Tiểu học Xuân Du</t>
  </si>
  <si>
    <t>38403408</t>
  </si>
  <si>
    <t>Trường THCS Tượng Văn</t>
  </si>
  <si>
    <t>38404523</t>
  </si>
  <si>
    <t>Trường Tiểu học Cán Khê</t>
  </si>
  <si>
    <t>38403409</t>
  </si>
  <si>
    <t>Trường THCS Tượng Lĩnh</t>
  </si>
  <si>
    <t>Trường Tiểu học Phượng Nghi</t>
  </si>
  <si>
    <t>38404524</t>
  </si>
  <si>
    <t>38403417</t>
  </si>
  <si>
    <t>Trường Tiểu học Xuân Hòa</t>
  </si>
  <si>
    <t>38395404</t>
  </si>
  <si>
    <t>Trường THCS Tượng Sơn</t>
  </si>
  <si>
    <t>38404525</t>
  </si>
  <si>
    <t>Trường Tiểu học Thọ Hải</t>
  </si>
  <si>
    <t>38395413</t>
  </si>
  <si>
    <t>Trường THCS Thăng Bình</t>
  </si>
  <si>
    <t>38404526</t>
  </si>
  <si>
    <t>Trường Tiểu học Xuân Hưng</t>
  </si>
  <si>
    <t>38395421</t>
  </si>
  <si>
    <t>Trường Tiểu học Thọ Diên</t>
  </si>
  <si>
    <t>38395431</t>
  </si>
  <si>
    <t>Tiểu học Ngọc Trạo</t>
  </si>
  <si>
    <t>Trường THCS Thăng Thọ</t>
  </si>
  <si>
    <t>Trường Tiểu học Xuân Lai</t>
  </si>
  <si>
    <t>38404527</t>
  </si>
  <si>
    <t>38395415</t>
  </si>
  <si>
    <t>Trường Tiểu học Xuân Lập</t>
  </si>
  <si>
    <t>Trường THCS Thăng Long</t>
  </si>
  <si>
    <t>38395424</t>
  </si>
  <si>
    <t>38404528</t>
  </si>
  <si>
    <t>Trường TH Trường Xuân</t>
  </si>
  <si>
    <t>38395435</t>
  </si>
  <si>
    <t>Trường THCS Yên Mỹ</t>
  </si>
  <si>
    <t>38404530</t>
  </si>
  <si>
    <t>Trường Tiểu học Xuân Minh</t>
  </si>
  <si>
    <t>38395436</t>
  </si>
  <si>
    <t>Tiểu học Bắc Sơn</t>
  </si>
  <si>
    <t>Trường Tiểu học Xuân Thái</t>
  </si>
  <si>
    <t>38403414</t>
  </si>
  <si>
    <t>38404532</t>
  </si>
  <si>
    <t>Trường Tiểu học Xuân Tín</t>
  </si>
  <si>
    <t>38395425</t>
  </si>
  <si>
    <t>38404533</t>
  </si>
  <si>
    <t>38395428</t>
  </si>
  <si>
    <t>Trường THCS Công Liêm</t>
  </si>
  <si>
    <t>38404534</t>
  </si>
  <si>
    <t>38395439</t>
  </si>
  <si>
    <t>TH&amp;THCS Phú Sơn</t>
  </si>
  <si>
    <t>Trường Tiểu Học Định Tăng</t>
  </si>
  <si>
    <t>38394417</t>
  </si>
  <si>
    <t>Trường Tiểu Học Định Tường</t>
  </si>
  <si>
    <t>38394418</t>
  </si>
  <si>
    <t>Trường THCS Đông Tân</t>
  </si>
  <si>
    <t>Trường Tiểu Học Định Long</t>
  </si>
  <si>
    <t>38405504</t>
  </si>
  <si>
    <t>38394419</t>
  </si>
  <si>
    <t>Trường Tiểu Học Định Liên</t>
  </si>
  <si>
    <t>Tiểu học Darwin</t>
  </si>
  <si>
    <t>38394420</t>
  </si>
  <si>
    <t>Trường Tiểu Học Quán Lào</t>
  </si>
  <si>
    <t>38394429</t>
  </si>
  <si>
    <t>Trường THCS Đông Tiến</t>
  </si>
  <si>
    <t>Trường Tiểu Học Yên Khương</t>
  </si>
  <si>
    <t>38405507</t>
  </si>
  <si>
    <t>38388406</t>
  </si>
  <si>
    <t>Tiểu học Trường Sơn</t>
  </si>
  <si>
    <t>Trường Tiểu Học Yên Nhân 1</t>
  </si>
  <si>
    <t>38396404</t>
  </si>
  <si>
    <t>Trường Tiểu học Yên Nhân 2</t>
  </si>
  <si>
    <t>38396416</t>
  </si>
  <si>
    <t>Trường Tiểu Học Yên Hùng</t>
  </si>
  <si>
    <t>38394413</t>
  </si>
  <si>
    <t>Trường THCS Nguyễn Chích</t>
  </si>
  <si>
    <t>Trường Tiểu Học Yên Thịnh</t>
  </si>
  <si>
    <t>38405510</t>
  </si>
  <si>
    <t>38394414</t>
  </si>
  <si>
    <t>Trường Tiểu Học Yên Lạc</t>
  </si>
  <si>
    <t>Trường THCS Đông Lĩnh</t>
  </si>
  <si>
    <t>38394416</t>
  </si>
  <si>
    <t>38405511</t>
  </si>
  <si>
    <t>Tiểu học Bắc Sơn Sầm Sơn</t>
  </si>
  <si>
    <t>Trường THCS An Hoạch</t>
  </si>
  <si>
    <t>38405512</t>
  </si>
  <si>
    <t>Trường Tiểu Học Yên Tâm</t>
  </si>
  <si>
    <t>38394406</t>
  </si>
  <si>
    <t>Trường Tiểu học Thị trấn Thống Nhất</t>
  </si>
  <si>
    <t>38394412</t>
  </si>
  <si>
    <t>Tiểu học Trung Sơn 1</t>
  </si>
  <si>
    <t>Trường Tiểu Học Yên Phú</t>
  </si>
  <si>
    <t>38394504</t>
  </si>
  <si>
    <t>Trường Tiểu Học Yên Thắng</t>
  </si>
  <si>
    <t>Trường THCS Đông Ninh</t>
  </si>
  <si>
    <t>38388405</t>
  </si>
  <si>
    <t>38405515</t>
  </si>
  <si>
    <t>Trường Tiểu Học Yên Thọ 1</t>
  </si>
  <si>
    <t>38403401</t>
  </si>
  <si>
    <t>Trường THCS Đông Quang</t>
  </si>
  <si>
    <t>38405516</t>
  </si>
  <si>
    <t>Trường Tiểu học Yên Thọ 2</t>
  </si>
  <si>
    <t>Tiểu học Quảng Tiến 1</t>
  </si>
  <si>
    <t>38403404</t>
  </si>
  <si>
    <t>Trường Tiểu học Xuân Phúc</t>
  </si>
  <si>
    <t>38403415</t>
  </si>
  <si>
    <t>Trường Tiểu học Yên Lạc</t>
  </si>
  <si>
    <t>38403418</t>
  </si>
  <si>
    <t>Trường Tiểu học Yên Trung</t>
  </si>
  <si>
    <t>38394402</t>
  </si>
  <si>
    <t>Trường THCS Đông Văn</t>
  </si>
  <si>
    <t>38405519</t>
  </si>
  <si>
    <t>Trường Tiểu học Yên Phong</t>
  </si>
  <si>
    <t>38394408</t>
  </si>
  <si>
    <t>Tiểu học Quảng Cư</t>
  </si>
  <si>
    <t>Trường Tiểu Học Yên Thái</t>
  </si>
  <si>
    <t>38394409</t>
  </si>
  <si>
    <t>Trường Tiểu học Yên Trường</t>
  </si>
  <si>
    <t>Trường THCS Quảng Châu</t>
  </si>
  <si>
    <t>38394411</t>
  </si>
  <si>
    <t>38406501</t>
  </si>
  <si>
    <t>Tiểu học Quảng Tiến 2</t>
  </si>
  <si>
    <t>Trường THCS Quảng Thọ</t>
  </si>
  <si>
    <t>38406502</t>
  </si>
  <si>
    <t>Trường THCS Quảng Vinh</t>
  </si>
  <si>
    <t>38406503</t>
  </si>
  <si>
    <t>Tiểu học Trung Sơn 2</t>
  </si>
  <si>
    <t>38406504</t>
  </si>
  <si>
    <t>Trường THCS Quảng Tâm</t>
  </si>
  <si>
    <t>38406505</t>
  </si>
  <si>
    <t>Tiểu học Quảng Châu</t>
  </si>
  <si>
    <t>Trường THCS Quảng Cát</t>
  </si>
  <si>
    <t>38406506</t>
  </si>
  <si>
    <t>Trường THCS Quảng Minh</t>
  </si>
  <si>
    <t>38406507</t>
  </si>
  <si>
    <t>Trường THCS Quảng Hùng</t>
  </si>
  <si>
    <t>Tiểu học Quảng Thọ</t>
  </si>
  <si>
    <t>38406508</t>
  </si>
  <si>
    <t>Trường THCS Quảng Lưu</t>
  </si>
  <si>
    <t>38406510</t>
  </si>
  <si>
    <t>Tiểu học Ngọc Lĩnh</t>
  </si>
  <si>
    <t>Trường THCS Quảng lộc</t>
  </si>
  <si>
    <t>38406511</t>
  </si>
  <si>
    <t>Trường THCS Quảng Đại</t>
  </si>
  <si>
    <t>38406512</t>
  </si>
  <si>
    <t>Tiểu học Tân Dân</t>
  </si>
  <si>
    <t>Trường THCS Quảng Hải</t>
  </si>
  <si>
    <t>38406513</t>
  </si>
  <si>
    <t>Trường THCS Quảng Nhân</t>
  </si>
  <si>
    <t>38406514</t>
  </si>
  <si>
    <t>Tiểu học Hải An</t>
  </si>
  <si>
    <t>Trường THCS Tiên Trang</t>
  </si>
  <si>
    <t>38406515</t>
  </si>
  <si>
    <t>Tiểu học Hải Nhân</t>
  </si>
  <si>
    <t>Trường THCS Quảng Thái</t>
  </si>
  <si>
    <t>38406516</t>
  </si>
  <si>
    <t>Trường THCS Quảng Nham</t>
  </si>
  <si>
    <t>Tiểu học Thị Trấn</t>
  </si>
  <si>
    <t>38406517</t>
  </si>
  <si>
    <t>Trường THCS Quảng Thạch</t>
  </si>
  <si>
    <t>38406518</t>
  </si>
  <si>
    <t>Trường THCS Nguyễn Bá Ngọc</t>
  </si>
  <si>
    <t>38406519</t>
  </si>
  <si>
    <t>Tiểu học Hải Hòa</t>
  </si>
  <si>
    <t>Trường THCS Quảng Chính</t>
  </si>
  <si>
    <t>38406520</t>
  </si>
  <si>
    <t>Trường THCS Quảng Khê</t>
  </si>
  <si>
    <t>38406521</t>
  </si>
  <si>
    <t>Trường THCS Quảng Bình</t>
  </si>
  <si>
    <t>38406523</t>
  </si>
  <si>
    <t>Tiểu học Hải Thanh A</t>
  </si>
  <si>
    <t>Trường THCS Quảng Ninh</t>
  </si>
  <si>
    <t>38406524</t>
  </si>
  <si>
    <t>Trường THCS Tân Phong 2</t>
  </si>
  <si>
    <t>38406525</t>
  </si>
  <si>
    <t>Trường THCS Nguyễn Du</t>
  </si>
  <si>
    <t>38406526</t>
  </si>
  <si>
    <t>Tiểu học Bình Minh</t>
  </si>
  <si>
    <t>Trường THCS Quảng Thịnh</t>
  </si>
  <si>
    <t>38406529</t>
  </si>
  <si>
    <t>Trường THCS Quảng Đông</t>
  </si>
  <si>
    <t>38406530</t>
  </si>
  <si>
    <t>Trường THCS Quảng Định</t>
  </si>
  <si>
    <t>38406531</t>
  </si>
  <si>
    <t>Tiểu học Hải Thanh</t>
  </si>
  <si>
    <t>Trường THCS Quảng Đức</t>
  </si>
  <si>
    <t>38406532</t>
  </si>
  <si>
    <t>Trường THCS Quảng Yên</t>
  </si>
  <si>
    <t>38406533</t>
  </si>
  <si>
    <t>Trường THCS Quảng Trạch</t>
  </si>
  <si>
    <t>38406534</t>
  </si>
  <si>
    <t>Trường THCS Quảng văn</t>
  </si>
  <si>
    <t>38406535</t>
  </si>
  <si>
    <t>TH&amp;THCS Lương Chí</t>
  </si>
  <si>
    <t>Trường THCS Quảng Long</t>
  </si>
  <si>
    <t>38406536</t>
  </si>
  <si>
    <t>Trường THCS Quảng Hòa</t>
  </si>
  <si>
    <t>38406537</t>
  </si>
  <si>
    <t>Trường THCS Quảng Hợp</t>
  </si>
  <si>
    <t>Tiểu học Trúc Lâm</t>
  </si>
  <si>
    <t>38406538</t>
  </si>
  <si>
    <t>Trường THCS Quảng Phúc</t>
  </si>
  <si>
    <t>38406539</t>
  </si>
  <si>
    <t>Trường THCS Quảng Ngọc</t>
  </si>
  <si>
    <t>38406541</t>
  </si>
  <si>
    <t>Tiểu học Phú Sơn</t>
  </si>
  <si>
    <t>Trường THCS Quảng trường</t>
  </si>
  <si>
    <t>38406542</t>
  </si>
  <si>
    <t>Trường THCS Tân Phong 1</t>
  </si>
  <si>
    <t>38406543</t>
  </si>
  <si>
    <t>Trường THCS Các Sơn</t>
  </si>
  <si>
    <t>38407501</t>
  </si>
  <si>
    <t>Tiểu học Tùng Lâm</t>
  </si>
  <si>
    <t>38407502</t>
  </si>
  <si>
    <t>Trường THCS Trường Lâm</t>
  </si>
  <si>
    <t>38407503</t>
  </si>
  <si>
    <t>Trường THCS Xuân lâm</t>
  </si>
  <si>
    <t>38407504</t>
  </si>
  <si>
    <t>Tiểu học Phú Lâm</t>
  </si>
  <si>
    <t>Trường THCS Đào Duy Từ</t>
  </si>
  <si>
    <t>38407505</t>
  </si>
  <si>
    <t>Trường THCS Hải Hòa</t>
  </si>
  <si>
    <t>38407506</t>
  </si>
  <si>
    <t>Trường THCS Thị trấn</t>
  </si>
  <si>
    <t>Tiểu học Khuyến Nông</t>
  </si>
  <si>
    <t>38407507</t>
  </si>
  <si>
    <t>Trường THCS Tân Dân</t>
  </si>
  <si>
    <t>38407508</t>
  </si>
  <si>
    <t>Trường THCS Hải Nhân</t>
  </si>
  <si>
    <t>38407509</t>
  </si>
  <si>
    <t>Tiểu học Tiến Nông</t>
  </si>
  <si>
    <t>Trường THCS Hải Ninh</t>
  </si>
  <si>
    <t>38407510</t>
  </si>
  <si>
    <t>Trường THCS Ninh Hải</t>
  </si>
  <si>
    <t>38407511</t>
  </si>
  <si>
    <t>Trường THCS Hải Hà</t>
  </si>
  <si>
    <t>38407513</t>
  </si>
  <si>
    <t>Tiểu học An Nông</t>
  </si>
  <si>
    <t>Trường THCS Nghi Sơn</t>
  </si>
  <si>
    <t>38407514</t>
  </si>
  <si>
    <t>Trường THCS Tĩnh Hải</t>
  </si>
  <si>
    <t>38407515</t>
  </si>
  <si>
    <t>Trường THCS Hải Bình</t>
  </si>
  <si>
    <t>38407516</t>
  </si>
  <si>
    <t>Trường THCS Hải Thanh</t>
  </si>
  <si>
    <t>38407517</t>
  </si>
  <si>
    <t>Trường THCS Bình Minh</t>
  </si>
  <si>
    <t>38407518</t>
  </si>
  <si>
    <t>Trường THCS Trúc Lâm</t>
  </si>
  <si>
    <t>38407519</t>
  </si>
  <si>
    <t>38407520</t>
  </si>
  <si>
    <t>Trường THCS Tùng Lâm</t>
  </si>
  <si>
    <t>38407521</t>
  </si>
  <si>
    <t>Trường THCS Phú Lâm</t>
  </si>
  <si>
    <t>38407522</t>
  </si>
  <si>
    <t>Trường THCS Tân Trường</t>
  </si>
  <si>
    <t>38407523</t>
  </si>
  <si>
    <t>Trường THCS Mai Lâm</t>
  </si>
  <si>
    <t>38407524</t>
  </si>
  <si>
    <t>Trường THCS Hải Lĩnh</t>
  </si>
  <si>
    <t>38407526</t>
  </si>
  <si>
    <t>Trường THCS Anh Sơn</t>
  </si>
  <si>
    <t>38407527</t>
  </si>
  <si>
    <t>Trường THCS Thanh Thuỷ</t>
  </si>
  <si>
    <t>38407529</t>
  </si>
  <si>
    <t>Trường THCS Hải An</t>
  </si>
  <si>
    <t>38407530</t>
  </si>
  <si>
    <t>Trường THCS Hải châu</t>
  </si>
  <si>
    <t>38407531</t>
  </si>
  <si>
    <t>Trường THCS Ngọc Lĩnh</t>
  </si>
  <si>
    <t>38407532</t>
  </si>
  <si>
    <t>Tiểu học Nông Trường</t>
  </si>
  <si>
    <t>Tiểu học Nga Trường</t>
  </si>
  <si>
    <t>Tiểu học Nga Thiện</t>
  </si>
  <si>
    <t>TH&amp;THCS Nga Vịnh</t>
  </si>
  <si>
    <t>Tiểu học Lâm Xa</t>
  </si>
  <si>
    <t>Tiểu học Tân Lập</t>
  </si>
  <si>
    <t>Tiểu học Hạ Trung</t>
  </si>
  <si>
    <t>Tiểu học Cành Nàng</t>
  </si>
  <si>
    <t>Tiểu học</t>
  </si>
  <si>
    <t>166 xã/phường</t>
  </si>
  <si>
    <t>Tiểu học Ban Công</t>
  </si>
  <si>
    <t>Tiểu học Bát Mọt 2</t>
  </si>
  <si>
    <t>Tiểu học Bát Mọt 1</t>
  </si>
  <si>
    <t>Tiểu học Vĩnh An</t>
  </si>
  <si>
    <t>Tiểu học Vĩnh Thịnh</t>
  </si>
  <si>
    <t>Tiểu học Vĩnh Minh</t>
  </si>
  <si>
    <t>Tiểu học Vĩnh Hùng</t>
  </si>
  <si>
    <t>TH&amp;THCS Vĩnh Tân</t>
  </si>
  <si>
    <t>Tiểu học Các Sơn A</t>
  </si>
  <si>
    <t>Tiểu học Anh Sơn</t>
  </si>
  <si>
    <t>Tiểu học Hùng Sơn</t>
  </si>
  <si>
    <t>Tiểu học Các Sơn B</t>
  </si>
  <si>
    <t>Tiểu học Cẩm Tân</t>
  </si>
  <si>
    <t>Tiểu học Cẩm Long</t>
  </si>
  <si>
    <t>Tiểu học Cẩm Phú</t>
  </si>
  <si>
    <t>TH&amp;THCS Cẩm Liên</t>
  </si>
  <si>
    <t>Tiểu học Cẩm Thành</t>
  </si>
  <si>
    <t>Tiểu học Cẩm Thạch</t>
  </si>
  <si>
    <t>Tiểu học Cẩm Bình 1</t>
  </si>
  <si>
    <t>Tiểu học Cẩm Bình 3</t>
  </si>
  <si>
    <t>Tiểu học Cẩm Phong</t>
  </si>
  <si>
    <t>Tiểu học Cẩm Ngọc</t>
  </si>
  <si>
    <t>Tiểu học Cẩm Sơn</t>
  </si>
  <si>
    <t>Tiểu học Cẩm Thủy</t>
  </si>
  <si>
    <t>Trường TIỂU HỌC QUẢNG THÀNH</t>
  </si>
  <si>
    <t>Tiểu học Cẩm Giang</t>
  </si>
  <si>
    <t>Tiểu học Cẩm Quý</t>
  </si>
  <si>
    <t>Tiểu học Cẩm Tú</t>
  </si>
  <si>
    <t>TH&amp;THCS Cẩm Lương</t>
  </si>
  <si>
    <t>Tiểu học Cẩm Châu</t>
  </si>
  <si>
    <t>Tiểu học Cẩm Vân</t>
  </si>
  <si>
    <t>TH&amp;THCS Cẩm Yên</t>
  </si>
  <si>
    <t>TH&amp;THCS Cẩm Tâm</t>
  </si>
  <si>
    <t>Tiểu học Cổ Lũng</t>
  </si>
  <si>
    <t>Tiểu học Lũng Cao</t>
  </si>
  <si>
    <t>TH&amp;THCS Cao Sơn</t>
  </si>
  <si>
    <t>Tiểu học Công Chính</t>
  </si>
  <si>
    <t>Tiểu học Công Liêm 1</t>
  </si>
  <si>
    <t>Tiểu học Yên Mỹ</t>
  </si>
  <si>
    <t>Tiểu học Công Liêm 2</t>
  </si>
  <si>
    <t>Tiểu học Ái Thượng</t>
  </si>
  <si>
    <t>Tiểu học Điền Trung</t>
  </si>
  <si>
    <t>Tiểu học Điền Lư</t>
  </si>
  <si>
    <t>Tiểu học Điền Thượng</t>
  </si>
  <si>
    <t>Tiểu học Điền Hạ</t>
  </si>
  <si>
    <t>Tiểu học Điền Quang</t>
  </si>
  <si>
    <t>Tiểu học Định Hòa</t>
  </si>
  <si>
    <t>Tiểu học Định Bình</t>
  </si>
  <si>
    <t>Tiểu học Định Thành</t>
  </si>
  <si>
    <t>Tiểu học Định Công</t>
  </si>
  <si>
    <t>Tiểu học Định Tân</t>
  </si>
  <si>
    <t>Tiểu học Định Tiến</t>
  </si>
  <si>
    <t>Tiểu học Định Hưng</t>
  </si>
  <si>
    <t>Tiểu học Định Hải</t>
  </si>
  <si>
    <t>Tiểu học Đồng Lương</t>
  </si>
  <si>
    <t>Tiểu học Tân Phúc</t>
  </si>
  <si>
    <t>Tiểu học Cầu Lộc</t>
  </si>
  <si>
    <t>Tiểu học Tuy Lộc</t>
  </si>
  <si>
    <t>Tiểu học Đồng Lộc</t>
  </si>
  <si>
    <t>Tiểu học Thành Lộc</t>
  </si>
  <si>
    <t>TH&amp;THCS Phong Lộc</t>
  </si>
  <si>
    <t>Tiểu học Đồng Tiến</t>
  </si>
  <si>
    <t>Tiểu học Đồng Lợi</t>
  </si>
  <si>
    <t>Tiểu học Đồng Thắng</t>
  </si>
  <si>
    <t>Tiểu học Giao Thiện</t>
  </si>
  <si>
    <t>TH&amp;THCS Giao An</t>
  </si>
  <si>
    <t>Tiểu học Hà Bắc</t>
  </si>
  <si>
    <t>Tiểu học Hà Long 1</t>
  </si>
  <si>
    <t>Tiểu học Hà Giang</t>
  </si>
  <si>
    <t>Tiểu học Hà Long 2</t>
  </si>
  <si>
    <t>Tiểu học Hà Ngọc</t>
  </si>
  <si>
    <t>Tiểu học Hà Ninh</t>
  </si>
  <si>
    <t>Tiểu học Hà Trung</t>
  </si>
  <si>
    <t>Tiểu học Hà Lâm</t>
  </si>
  <si>
    <t>Tiểu học Hà Đông</t>
  </si>
  <si>
    <t>Tiểu học Hậu Lộc</t>
  </si>
  <si>
    <t>Tiểu học Thuần Lộc</t>
  </si>
  <si>
    <t>Tiểu học Lộc Tân</t>
  </si>
  <si>
    <t>TH&amp;THCS Mỹ Lộc</t>
  </si>
  <si>
    <t>TH&amp;THCS Lộc Sơn</t>
  </si>
  <si>
    <t>Tiểu học Hiền Kiệt</t>
  </si>
  <si>
    <t>Tiểu học Hiền Chung</t>
  </si>
  <si>
    <t>Tiểu học Nga Hải</t>
  </si>
  <si>
    <t>Tiểu học Nga Liên 1</t>
  </si>
  <si>
    <t>Tiểu học Nga Giáp</t>
  </si>
  <si>
    <t>Tiểu học Nga Thành</t>
  </si>
  <si>
    <t>Tiểu học Nga Liên 2</t>
  </si>
  <si>
    <t>Tiểu học Xuân Lộc</t>
  </si>
  <si>
    <t>Tiểu học Phú Lộc</t>
  </si>
  <si>
    <t>Tiểu học Quang Lộc</t>
  </si>
  <si>
    <t>Tiểu học Liên Lộc</t>
  </si>
  <si>
    <t>Tiểu học Hòa Lộc</t>
  </si>
  <si>
    <t>Tiểu học Hoa Lộc</t>
  </si>
  <si>
    <t>TH&amp;THCS Bình Lương</t>
  </si>
  <si>
    <t>Tiểu học Hóa Quỳ</t>
  </si>
  <si>
    <t>TH&amp;THCS Xuân Quỳ</t>
  </si>
  <si>
    <t>Tiểu học Hoằng Phong</t>
  </si>
  <si>
    <t>Tiểu học Hoằng Lưu</t>
  </si>
  <si>
    <t>Tiểu học Hoằng Châu</t>
  </si>
  <si>
    <t>Tiểu học Hoằng Thắng</t>
  </si>
  <si>
    <t>Tiểu học Hoằng Giang</t>
  </si>
  <si>
    <t>Tiểu học Hoằng Xuân 1</t>
  </si>
  <si>
    <t>Tiểu học Hoằng Xuân 2</t>
  </si>
  <si>
    <t>Tiểu học Hoằng Phượng</t>
  </si>
  <si>
    <t>Tiểu học Hoằng Quỳ</t>
  </si>
  <si>
    <t>Tiểu học Hoằng Hợp</t>
  </si>
  <si>
    <t>TH&amp;THCS&amp;THPT Delta</t>
  </si>
  <si>
    <t>Tiểu học Hoằng Đạt</t>
  </si>
  <si>
    <t>Tiểu học Hoằng Đạo</t>
  </si>
  <si>
    <t>Tiểu học Lê Tất Đắc</t>
  </si>
  <si>
    <t>Tiểu học Camellia</t>
  </si>
  <si>
    <t>TH&amp;THCS Hoằng Đức 2</t>
  </si>
  <si>
    <t>TH&amp;THCS Hoằng Đức 1</t>
  </si>
  <si>
    <t>TH&amp;THCS Hoằng Hà</t>
  </si>
  <si>
    <t>TH&amp;THCS Hoằng Đồng</t>
  </si>
  <si>
    <t>Tiểu học Hoằng Thịnh</t>
  </si>
  <si>
    <t>Tiểu học Hoằng Thái</t>
  </si>
  <si>
    <t>Tiểu học Lê Mạnh Trinh</t>
  </si>
  <si>
    <t>Tiểu học Hoằng Thành</t>
  </si>
  <si>
    <t>Tiểu học Hoằng Trạch</t>
  </si>
  <si>
    <t>Tiểu học Hoằng Tân</t>
  </si>
  <si>
    <t>Tiểu học Hoằng Quý</t>
  </si>
  <si>
    <t>Tiểu học Hoằng Kim</t>
  </si>
  <si>
    <t>Tiểu học Hoằng Trung</t>
  </si>
  <si>
    <t>TH&amp;THCS Hoằng Phú</t>
  </si>
  <si>
    <t>Tiểu học Hoằng Trinh</t>
  </si>
  <si>
    <t>Tiểu học Hoằng Cát</t>
  </si>
  <si>
    <t>Tiểu học Hoằng Xuyên 2</t>
  </si>
  <si>
    <t>TH&amp;THCS Hoằng Sơn 1</t>
  </si>
  <si>
    <t>TH&amp;THCS Hoằng Sơn 2</t>
  </si>
  <si>
    <t>Tiểu học Hoằng Đông</t>
  </si>
  <si>
    <t>Tiểu học Hoằng Thanh</t>
  </si>
  <si>
    <t>Tiểu học Hoằng Phụ</t>
  </si>
  <si>
    <t>Tiểu học Hoằng Ngọc</t>
  </si>
  <si>
    <t>Tiểu học Lê Xuân Lan</t>
  </si>
  <si>
    <t>Tiểu học Hoằng Hải</t>
  </si>
  <si>
    <t>Tiểu học Hoằng Trường</t>
  </si>
  <si>
    <t>TH&amp;THCS Hoằng Yến</t>
  </si>
  <si>
    <t>Tiểu học Hà Yên</t>
  </si>
  <si>
    <t>Tiểu học Hà Dương</t>
  </si>
  <si>
    <t>Tiểu học Hoạt Giang</t>
  </si>
  <si>
    <t>Tiểu học Hà Bình</t>
  </si>
  <si>
    <t>Tiểu học Quan Hóa</t>
  </si>
  <si>
    <t>Tiểu học Hồi Xuân</t>
  </si>
  <si>
    <t>Tiểu học Phú nghiêm</t>
  </si>
  <si>
    <t>Tiểu học Triệu Thành</t>
  </si>
  <si>
    <t>Tiểu học Hợp Thắng</t>
  </si>
  <si>
    <t>Tiểu học Hợp Thành</t>
  </si>
  <si>
    <t>Tiểu học Hợp Lý</t>
  </si>
  <si>
    <t>TH&amp;THCS Hợp Tiến</t>
  </si>
  <si>
    <t>Tiểu học Kiên Thọ 2</t>
  </si>
  <si>
    <t>Tiểu học Kiên Thọ 1</t>
  </si>
  <si>
    <t>Tiểu học Phúc Thịnh</t>
  </si>
  <si>
    <t>TH&amp;THCS Phùng Minh</t>
  </si>
  <si>
    <t>Tiểu học Thành Trực</t>
  </si>
  <si>
    <t>Tiểu học Thành Kim</t>
  </si>
  <si>
    <t>Tiểu học Kim Tân</t>
  </si>
  <si>
    <t>Tiểu học Thành Hưng</t>
  </si>
  <si>
    <t>TH&amp;THCS Thạch Định</t>
  </si>
  <si>
    <t>Tiểu học Xuân Bái</t>
  </si>
  <si>
    <t>Tiểu học Lam Sơn</t>
  </si>
  <si>
    <t>Tiểu học Thọ Xương</t>
  </si>
  <si>
    <t>Tiểu học Linh Sơn - Xã Linh Sơn</t>
  </si>
  <si>
    <t>Tiểu học Linh Sơn 2</t>
  </si>
  <si>
    <t>TH&amp;THCS Chí Linh</t>
  </si>
  <si>
    <t>Tiểu học Hà Châu</t>
  </si>
  <si>
    <t>Tiểu học Hà Lai</t>
  </si>
  <si>
    <t>Tiểu học Hà Thái</t>
  </si>
  <si>
    <t>Tiểu học Lĩnh Toại</t>
  </si>
  <si>
    <t>Tiểu học Hà Hải</t>
  </si>
  <si>
    <t>Tiểu học Luận Thành</t>
  </si>
  <si>
    <t>Tiểu học Xuân Cao</t>
  </si>
  <si>
    <t>Tiểu học Lương Sơn 2</t>
  </si>
  <si>
    <t>Tiểu học Lương Sơn 1</t>
  </si>
  <si>
    <t>TH&amp;THCS&amp;THPT Nobel School III</t>
  </si>
  <si>
    <t>Tiểu học Tân Phong 2</t>
  </si>
  <si>
    <t>Tiểu học Tân Phong 3</t>
  </si>
  <si>
    <t>Tiểu học Tân Phong 1</t>
  </si>
  <si>
    <t>Tiểu học Quảng Định</t>
  </si>
  <si>
    <t>Tiểu học Quảng Đức</t>
  </si>
  <si>
    <t>Tiểu học Phú Nhuận</t>
  </si>
  <si>
    <t>Tiểu học Mậu Lâm 1</t>
  </si>
  <si>
    <t>Tiểu học Mậu Lâm 2</t>
  </si>
  <si>
    <t>Tiểu học Minh Sơn 1</t>
  </si>
  <si>
    <t>Tiểu học Minh Tiến</t>
  </si>
  <si>
    <t>Tiểu học Cao Ngọc</t>
  </si>
  <si>
    <t>Tiểu học Minh Sơn 2</t>
  </si>
  <si>
    <t>Tiểu học Mường Chanh</t>
  </si>
  <si>
    <t>Tiểu học Tén Tằn</t>
  </si>
  <si>
    <t>TH&amp;THCS Mường Lát</t>
  </si>
  <si>
    <t>Tiểu học Mường Lý</t>
  </si>
  <si>
    <t>Tiểu học Tây Tiến</t>
  </si>
  <si>
    <t>Tiểu học Mường Mìn</t>
  </si>
  <si>
    <t>Tiểu học Na Mèo</t>
  </si>
  <si>
    <t>Tiểu học Nam Tiến</t>
  </si>
  <si>
    <t>Tiểu học Nam Xuân</t>
  </si>
  <si>
    <t>Tiểu học Nga Điền</t>
  </si>
  <si>
    <t>Tiểu học Nga Phú</t>
  </si>
  <si>
    <t>Tiểu học Nga An</t>
  </si>
  <si>
    <t>Tiểu học Nga Điền 2</t>
  </si>
  <si>
    <t>Tiểu học Nga Thủy</t>
  </si>
  <si>
    <t>Tiểu học Thị Trấn Nga Sơn</t>
  </si>
  <si>
    <t>Tiểu học Nga Bạch</t>
  </si>
  <si>
    <t>Tiểu học Nga Thanh</t>
  </si>
  <si>
    <t>Tiểu học Nga Yên</t>
  </si>
  <si>
    <t>Tiểu học Nga Trung</t>
  </si>
  <si>
    <t>Tiểu học Mỹ Hưng</t>
  </si>
  <si>
    <t>Tiểu học Nga Phượng 1</t>
  </si>
  <si>
    <t>Tiểu học Nga Thắng</t>
  </si>
  <si>
    <t>Tiểu học Nga Thạch</t>
  </si>
  <si>
    <t>Tiểu học Nga Phượng 2</t>
  </si>
  <si>
    <t>TH&amp;THCS Nga Văn</t>
  </si>
  <si>
    <t>Tiểu học Thúy Sơn 1</t>
  </si>
  <si>
    <t>Tiểu học Ngọc Khê 1</t>
  </si>
  <si>
    <t>Tiểu học Mỹ Tân</t>
  </si>
  <si>
    <t>Tiểu học Ngọc Lặc</t>
  </si>
  <si>
    <t>Tiểu học Ngọc Khê 2</t>
  </si>
  <si>
    <t>Tiểu học Thúy Sơn 2</t>
  </si>
  <si>
    <t>Tiểu học Ngọc Trung</t>
  </si>
  <si>
    <t>TH&amp;THCS Lộc Thịnh</t>
  </si>
  <si>
    <t>Tiểu học Cao Thịnh</t>
  </si>
  <si>
    <t>Tiểu học Ngọc Liên</t>
  </si>
  <si>
    <t>Tiểu học Ngọc Sơn</t>
  </si>
  <si>
    <t>Tiểu học Thành Long</t>
  </si>
  <si>
    <t>Tiểu học Thành An</t>
  </si>
  <si>
    <t>Tiểu học Vân Am 2</t>
  </si>
  <si>
    <t>Tiểu học Nguyệt Ấn 1</t>
  </si>
  <si>
    <t>Tiểu học Phùng Giáo</t>
  </si>
  <si>
    <t>Tiểu học Vân Am</t>
  </si>
  <si>
    <t>Tiểu học Nguyệt Ấn 2</t>
  </si>
  <si>
    <t>Tiểu học Xuân Khang 2</t>
  </si>
  <si>
    <t>Tiểu học Hải Long</t>
  </si>
  <si>
    <t>Tiểu học Xuân Khang 1</t>
  </si>
  <si>
    <t>Tiểu học Bến Sung</t>
  </si>
  <si>
    <t>Tiểu học Yên Cát</t>
  </si>
  <si>
    <t>TH&amp;THCS Tân Bình</t>
  </si>
  <si>
    <t>TH&amp;THCS Yên Lễ</t>
  </si>
  <si>
    <t>Tiểu học Minh Thọ</t>
  </si>
  <si>
    <t>Tiểu học Minh Khôi</t>
  </si>
  <si>
    <t>Tiểu học Minh Nghĩa</t>
  </si>
  <si>
    <t>Tiểu học Vạn Hòa</t>
  </si>
  <si>
    <t>Tiểu học Vạn Thắng</t>
  </si>
  <si>
    <t>Tiểu học Vạn Thiện</t>
  </si>
  <si>
    <t>Tiểu học Kim Đồng</t>
  </si>
  <si>
    <t>Tiểu học Phú Thanh</t>
  </si>
  <si>
    <t>Tiểu học Phú Lệ</t>
  </si>
  <si>
    <t>Tiểu học Phú Xuân</t>
  </si>
  <si>
    <t>Tiểu học Thanh Xuân</t>
  </si>
  <si>
    <t>Tiểu học Thành Lâm</t>
  </si>
  <si>
    <t>Trường Tiểu học Trường Xuân</t>
  </si>
  <si>
    <t>Tiểu học Lũng Niêm</t>
  </si>
  <si>
    <t>TH&amp;THCS Thành Sơn</t>
  </si>
  <si>
    <t>Tiểu học Pù Nhi</t>
  </si>
  <si>
    <t>Tiểu học Sơn Lư</t>
  </si>
  <si>
    <t>Tiểu học Trung Thượng</t>
  </si>
  <si>
    <t>TH&amp;THCS Sơn Lư</t>
  </si>
  <si>
    <t>Tiểu học Quảng Lưu</t>
  </si>
  <si>
    <t>Tiểu học Quảng Thái.</t>
  </si>
  <si>
    <t>Tiểu học Quảng Bình</t>
  </si>
  <si>
    <t>Tiểu học Quang Chiểu I</t>
  </si>
  <si>
    <t>Tiểu học Quang Chiểu 2</t>
  </si>
  <si>
    <t>Tiểu học Quảng Chính</t>
  </si>
  <si>
    <t>Tiểu học Quảng Khê</t>
  </si>
  <si>
    <t>Tiểu học Quảng Trường</t>
  </si>
  <si>
    <t>Tiểu học Quảng Văn</t>
  </si>
  <si>
    <t>Tiểu học Quảng Hợp</t>
  </si>
  <si>
    <t>Tiểu học Quảng Phúc</t>
  </si>
  <si>
    <t>Tiểu học Quảng Ngọc</t>
  </si>
  <si>
    <t>Tiểu học Quảng Nhân</t>
  </si>
  <si>
    <t>Tiểu học Quảng Ninh</t>
  </si>
  <si>
    <t>Tiểu học Quảng Yên</t>
  </si>
  <si>
    <t>Tiểu học Quảng Trạch</t>
  </si>
  <si>
    <t>Tiểu học Quảng Long</t>
  </si>
  <si>
    <t>Tiểu học Quảng Hòa</t>
  </si>
  <si>
    <t>Tiểu học Quý Lộc</t>
  </si>
  <si>
    <t>Tiểu học Yên Thọ</t>
  </si>
  <si>
    <t>Tiểu học Yên Lâm</t>
  </si>
  <si>
    <t>Tiểu học Lương Nội</t>
  </si>
  <si>
    <t>Tiểu học Lương Ngoại</t>
  </si>
  <si>
    <t>Tiểu học Lương Trung</t>
  </si>
  <si>
    <t>Tiểu học Thọ Lâm</t>
  </si>
  <si>
    <t>Tiểu học Sao Vàng</t>
  </si>
  <si>
    <t>Tiểu học Xuân Sinh</t>
  </si>
  <si>
    <t>Tiểu học Xuân Phú</t>
  </si>
  <si>
    <t>Tiểu học Sơn Điện 1</t>
  </si>
  <si>
    <t>Tiểu học Sơn Điện 2</t>
  </si>
  <si>
    <t>Tiểu học Sơn Thủy</t>
  </si>
  <si>
    <t>Tiểu học Tam Chung</t>
  </si>
  <si>
    <t>Tiểu học Sơn Hà</t>
  </si>
  <si>
    <t>Tiểu học Tam Lư</t>
  </si>
  <si>
    <t>Tiểu học Tam Thanh</t>
  </si>
  <si>
    <t>Tiểu học Vân Sơn</t>
  </si>
  <si>
    <t>Tiểu học Tân Ninh</t>
  </si>
  <si>
    <t>Tiểu học Thái Hòa</t>
  </si>
  <si>
    <t>Tiểu học Luận Khê 1</t>
  </si>
  <si>
    <t>Tiểu học Tân Thành 1</t>
  </si>
  <si>
    <t>Tiểu học Tân Thành 2</t>
  </si>
  <si>
    <t>Tiểu học Luận Khê 2</t>
  </si>
  <si>
    <t>Tiểu học Nga Tiến</t>
  </si>
  <si>
    <t>Tiểu học Nga Thái</t>
  </si>
  <si>
    <t>Tiểu học Nga Tân</t>
  </si>
  <si>
    <t>Tiểu học Vĩnh Yên</t>
  </si>
  <si>
    <t>Tiểu học Vĩnh Long</t>
  </si>
  <si>
    <t>Tiểu học Vĩnh Quang</t>
  </si>
  <si>
    <t>TH&amp;THCS Vĩnh Tiến</t>
  </si>
  <si>
    <t>Tiểu học Thạch Cẩm 1</t>
  </si>
  <si>
    <t>Tiểu học Thạch Cẩm 2</t>
  </si>
  <si>
    <t>Tiểu học Thạch Đồng</t>
  </si>
  <si>
    <t>Tiểu học Quang Trung</t>
  </si>
  <si>
    <t>Tiểu học Thạch Lập 1</t>
  </si>
  <si>
    <t>Tiểu học Thạch Lập 2</t>
  </si>
  <si>
    <t>TH&amp;THCS Đồng Thịnh</t>
  </si>
  <si>
    <t>Tiểu học Thạch Lâm 1</t>
  </si>
  <si>
    <t>Tiểu học Thạch Lâm 2</t>
  </si>
  <si>
    <t>Tiểu học Thạch Tượng 1</t>
  </si>
  <si>
    <t>Tiểu học Thạch Quảng</t>
  </si>
  <si>
    <t>Tiểu học Thăng Bình</t>
  </si>
  <si>
    <t>Tiểu học Thăng Thọ</t>
  </si>
  <si>
    <t>Tiểu học Thăng Long 2</t>
  </si>
  <si>
    <t>Tiểu học Thăng Long 1</t>
  </si>
  <si>
    <t>Tiểu học Xuân Thắng</t>
  </si>
  <si>
    <t>Tiểu học Trung Thành</t>
  </si>
  <si>
    <t>Tiểu học Tế Thắng</t>
  </si>
  <si>
    <t>Tiểu học Tế Lợi</t>
  </si>
  <si>
    <t>Tiểu học Tế Nông</t>
  </si>
  <si>
    <t>Tiểu học Thanh Kỳ</t>
  </si>
  <si>
    <t>Tiểu học Thanh Tân 2</t>
  </si>
  <si>
    <t>Tiểu học Thanh Tân 1</t>
  </si>
  <si>
    <t>Tiểu học Thanh Lâm</t>
  </si>
  <si>
    <t>Tiểu học Thanh Phong</t>
  </si>
  <si>
    <t>TH&amp;THCS Thanh Hòa</t>
  </si>
  <si>
    <t>Tiểu học Thanh Quân</t>
  </si>
  <si>
    <t>Tiểu học Thanh xuân</t>
  </si>
  <si>
    <t>Tiểu học Thành Yên</t>
  </si>
  <si>
    <t>Tiểu học Thành Vinh</t>
  </si>
  <si>
    <t>Tiểu học Thiên Phủ</t>
  </si>
  <si>
    <t>Tiểu học Nam Động</t>
  </si>
  <si>
    <t>Tiểu học Thiết Kế</t>
  </si>
  <si>
    <t>Tiểu học Thiết Ống</t>
  </si>
  <si>
    <t>Th&amp;THCS&amp;THPT Nobel School V</t>
  </si>
  <si>
    <t>Tiểu học Thiệu Công</t>
  </si>
  <si>
    <t>Tiểu học Thiệu Phú</t>
  </si>
  <si>
    <t>Tiểu học Thiệu Phúc</t>
  </si>
  <si>
    <t>Tiểu học Vạn Hà</t>
  </si>
  <si>
    <t>Tiểu học Thiệu Nguyên</t>
  </si>
  <si>
    <t>Tiểu học Thiệu Long</t>
  </si>
  <si>
    <t>Tiểu học Thiệu Duy</t>
  </si>
  <si>
    <t>Tiểu học Thiệu Hợp</t>
  </si>
  <si>
    <t>Tiểu học Thiệu Quang</t>
  </si>
  <si>
    <t>Tiểu học Thiệu Giang</t>
  </si>
  <si>
    <t>TH&amp;THCS Thiệu Thịnh</t>
  </si>
  <si>
    <t>Tiểu học Thiệu Ngọc</t>
  </si>
  <si>
    <t>Tiểu học Thiệu Vũ</t>
  </si>
  <si>
    <t>Tiểu học Thiệu Tiến</t>
  </si>
  <si>
    <t>Tiểu học Thiệu Thành</t>
  </si>
  <si>
    <t>Tiểu học Thiệu Toán</t>
  </si>
  <si>
    <t>Tiểu học Thiệu Chính</t>
  </si>
  <si>
    <t>Tiểu học Thiệu Hòa</t>
  </si>
  <si>
    <t>Tiểu học Thiệu Tâm</t>
  </si>
  <si>
    <t>TH&amp;THCS Thiệu Minh</t>
  </si>
  <si>
    <t>Tiểu học Thiệu Lý</t>
  </si>
  <si>
    <t>Tiểu học Thiệu Viên</t>
  </si>
  <si>
    <t>Tiểu học Thiệu Trung</t>
  </si>
  <si>
    <t>Tiểu học Thiệu Đô</t>
  </si>
  <si>
    <t>TH&amp;THCS Thiệu Vận</t>
  </si>
  <si>
    <t>Tiểu học Thọ Sơn</t>
  </si>
  <si>
    <t>Tiểu học Thọ Bình</t>
  </si>
  <si>
    <t>TH&amp;THCS Bình Sơn</t>
  </si>
  <si>
    <t>Tiểu học Xuân Thiên</t>
  </si>
  <si>
    <t>Tiểu học Thuận Minh</t>
  </si>
  <si>
    <t>Tiểu học Thọ Lập</t>
  </si>
  <si>
    <t>Tiểu học Xuân Phong</t>
  </si>
  <si>
    <t>Tiểu học Bắc Lương</t>
  </si>
  <si>
    <t>Tiểu học Nam Giang</t>
  </si>
  <si>
    <t>Tiểu học Tây Hồ</t>
  </si>
  <si>
    <t>Tiểu học Thọ Lộc</t>
  </si>
  <si>
    <t>Tiểu học Thọ Cường</t>
  </si>
  <si>
    <t>Tiểu học Thọ Tiến</t>
  </si>
  <si>
    <t>Tiểu học Xuân Thọ</t>
  </si>
  <si>
    <t>Tiểu học Thọ Ngọc</t>
  </si>
  <si>
    <t>Tiểu học Thọ Tân</t>
  </si>
  <si>
    <t>Tiểu học Thọ Vực</t>
  </si>
  <si>
    <t>Tiểu học Thọ Dân</t>
  </si>
  <si>
    <t>Tiểu học Thọ Thế</t>
  </si>
  <si>
    <t>TH&amp;THCS Thọ Phú</t>
  </si>
  <si>
    <t>TH&amp;THCS Xuân Lộc</t>
  </si>
  <si>
    <t>TH&amp;THCS Xuân Thịnh</t>
  </si>
  <si>
    <t>Tiểu học Xuân Trường</t>
  </si>
  <si>
    <t>Tiểu học Thọ Xuân</t>
  </si>
  <si>
    <t>Tiểu học Xuân Hồng</t>
  </si>
  <si>
    <t>Tiểu học Xuân Giang</t>
  </si>
  <si>
    <t>Tiểu học Cát Tân</t>
  </si>
  <si>
    <t>TH&amp;THCS Cát Vân</t>
  </si>
  <si>
    <t>Tiểu học Xuân Cẩm</t>
  </si>
  <si>
    <t>Tiểu học Xuân Dương</t>
  </si>
  <si>
    <t>Tiểu học Thường Xuân</t>
  </si>
  <si>
    <t>Tiểu học Thọ Thanh</t>
  </si>
  <si>
    <t>Tiểu học Ngọc Phụng 2</t>
  </si>
  <si>
    <t>Tiểu học Ngọc Phụng 1</t>
  </si>
  <si>
    <t>Tiểu học Tiên Trang</t>
  </si>
  <si>
    <t>Tiểu học Quảng Nham 1</t>
  </si>
  <si>
    <t>Tiểu học Quảng Thạch</t>
  </si>
  <si>
    <t>Tiểu học Quảng Nham 2</t>
  </si>
  <si>
    <t>Tiểu học Hà Tân</t>
  </si>
  <si>
    <t>Tiểu học Hà Sơn</t>
  </si>
  <si>
    <t>Tiểu học Hà Lĩnh</t>
  </si>
  <si>
    <t>Tiểu học Hà Tiến</t>
  </si>
  <si>
    <t>Tiểu học Đại Lộc</t>
  </si>
  <si>
    <t>Tiểu học Triệu Lộc</t>
  </si>
  <si>
    <t>Tiểu học Tiến Lộc</t>
  </si>
  <si>
    <t>Tiểu học Châu Lộc</t>
  </si>
  <si>
    <t>Phổ thông Triệu Sơn</t>
  </si>
  <si>
    <t>Tiểu học Dân Lực</t>
  </si>
  <si>
    <t>Tiểu học Dân Quyền</t>
  </si>
  <si>
    <t>Tiểu học Dân Lý</t>
  </si>
  <si>
    <t>TH&amp;THCS Minh Sơn</t>
  </si>
  <si>
    <t>Tiểu học Tân Thọ</t>
  </si>
  <si>
    <t>Tiểu học Tân Khang</t>
  </si>
  <si>
    <t>Tiểu học Trung Chính</t>
  </si>
  <si>
    <t>Tiểu học Hoàng Giang</t>
  </si>
  <si>
    <t>Tiểu học Hoàng Sơn</t>
  </si>
  <si>
    <t>Tiểu học Trung Hạ</t>
  </si>
  <si>
    <t>Tiểu học Trung Tiến</t>
  </si>
  <si>
    <t>TH&amp;THCS Trung Xuân</t>
  </si>
  <si>
    <t>Tiểu học Trung Lý 1</t>
  </si>
  <si>
    <t>Tiểu học Trung Lý 2</t>
  </si>
  <si>
    <t>Tiểu học Trung Sơn</t>
  </si>
  <si>
    <t>Tiểu học Thành Sơn</t>
  </si>
  <si>
    <t>Tiểu học Trường Lâm</t>
  </si>
  <si>
    <t>Tiểu học Tân Trường</t>
  </si>
  <si>
    <t>Tiểu học Trường Minh</t>
  </si>
  <si>
    <t>Tiểu học Trường Trung</t>
  </si>
  <si>
    <t>Tiểu học Trường Giang 1</t>
  </si>
  <si>
    <t>Tiểu học Trường Giang 2</t>
  </si>
  <si>
    <t>Tiểu học Tượng Văn</t>
  </si>
  <si>
    <t>Tiểu học Tượng Lĩnh</t>
  </si>
  <si>
    <t>Trường THCS XUÂN LỘC</t>
  </si>
  <si>
    <t>Tiểu học Tượng Sơn</t>
  </si>
  <si>
    <t>Tiểu học Thành Tân</t>
  </si>
  <si>
    <t>Tiểu học Đa Lộc</t>
  </si>
  <si>
    <t>Tiểu học Ngư Lộc 2</t>
  </si>
  <si>
    <t>Tiểu học Hải Lộc</t>
  </si>
  <si>
    <t>Tiểu học Hưng Lộc 1</t>
  </si>
  <si>
    <t>Tiểu học Ngư Lộc 1</t>
  </si>
  <si>
    <t>Tiểu học Minh Lộc 1</t>
  </si>
  <si>
    <t>Tiểu học Minh Lộc 2</t>
  </si>
  <si>
    <t>Tiểu học Hưng Lộc 2</t>
  </si>
  <si>
    <t>Tiểu học Văn Nho</t>
  </si>
  <si>
    <t>Tiểu học Kỳ Tân</t>
  </si>
  <si>
    <t>Tiểu học Lâm Phú</t>
  </si>
  <si>
    <t>TH&amp;THCS Tam Văn</t>
  </si>
  <si>
    <t>Tiểu học Vạn Xuân</t>
  </si>
  <si>
    <t>Tiểu học Vĩnh Hòa</t>
  </si>
  <si>
    <t>Tiểu học Vĩnh Ninh</t>
  </si>
  <si>
    <t>Tiểu học Vĩnh Thành</t>
  </si>
  <si>
    <t>Tiểu học Vĩnh Phúc</t>
  </si>
  <si>
    <t>Tiểu học Vĩnh Hưng</t>
  </si>
  <si>
    <t>Tiểu học Vĩnh Lộc</t>
  </si>
  <si>
    <t>TH&amp;THCS Vĩnh Khang</t>
  </si>
  <si>
    <t>Tiểu học Xuân Bình</t>
  </si>
  <si>
    <t>Tiểu học Bãi Trành</t>
  </si>
  <si>
    <t>Tiểu học Xuân Hòa</t>
  </si>
  <si>
    <t>Tiểu học Xuân Chinh</t>
  </si>
  <si>
    <t>Tiểu học Xuân Lẹ</t>
  </si>
  <si>
    <t>Tiểu học Xuân Du</t>
  </si>
  <si>
    <t>Tiểu học Cán Khê</t>
  </si>
  <si>
    <t>Tiểu học Phượng Nghi</t>
  </si>
  <si>
    <t>Tiểu học Thọ Hải</t>
  </si>
  <si>
    <t>Tiểu học Xuân Hưng</t>
  </si>
  <si>
    <t>Tiểu học Thọ Diên</t>
  </si>
  <si>
    <t>Tiểu học Xuân Lai</t>
  </si>
  <si>
    <t>Tiểu học Xuân Lập</t>
  </si>
  <si>
    <t>Tiểu học Trường Xuân</t>
  </si>
  <si>
    <t>Tiểu học Xuân Minh</t>
  </si>
  <si>
    <t>Tiểu học Xuân Thái</t>
  </si>
  <si>
    <t>Tiểu học Xuân Tín</t>
  </si>
  <si>
    <t>TH,THCS&amp;THPT Nobel School VIII</t>
  </si>
  <si>
    <t>Tiểu học Định Tăng</t>
  </si>
  <si>
    <t>Tiểu học Định Tường</t>
  </si>
  <si>
    <t>Tiểu học Định Long</t>
  </si>
  <si>
    <t>Tiểu học Định Liên</t>
  </si>
  <si>
    <t>Tiểu học Quán Lào</t>
  </si>
  <si>
    <t>Tiểu học Yên Khương</t>
  </si>
  <si>
    <t>Tiểu học Yên Nhân 1</t>
  </si>
  <si>
    <t>Tiểu học Yên Nhân 2</t>
  </si>
  <si>
    <t>Tiểu học Yên Hùng</t>
  </si>
  <si>
    <t>Tiểu học Yên Thịnh</t>
  </si>
  <si>
    <t>Tiểu học Yên Lạc</t>
  </si>
  <si>
    <t>TH&amp;THCS Yên Ninh</t>
  </si>
  <si>
    <t>Tiểu học Yên Tâm</t>
  </si>
  <si>
    <t>Tiểu học Thị trấn Thống Nhất</t>
  </si>
  <si>
    <t>Tiểu học Yên Phú</t>
  </si>
  <si>
    <t>Tiểu học Yên Thắng</t>
  </si>
  <si>
    <t>Tiểu học Yên Thọ 1</t>
  </si>
  <si>
    <t>Tiểu học Yên Thọ 2</t>
  </si>
  <si>
    <t>Tiểu học Xuân Phúc</t>
  </si>
  <si>
    <t>Tiểu học Yên Trung</t>
  </si>
  <si>
    <t>Tiểu học Yên Phong</t>
  </si>
  <si>
    <t>Tiểu học Yên Thái</t>
  </si>
  <si>
    <t>Tiểu học Yên Trường</t>
  </si>
  <si>
    <t>THPT Bỉm Sơn</t>
  </si>
  <si>
    <t>THPT Lê Hồng Phong</t>
  </si>
  <si>
    <t>Trung Cấp Nghề Bỉm sơn</t>
  </si>
  <si>
    <t>THPT Đông Sơn 2</t>
  </si>
  <si>
    <t>THPT Đông Sơn 1</t>
  </si>
  <si>
    <t>Phổ thông Nguyễn Mộng Tuân</t>
  </si>
  <si>
    <t>THPT chuyên Lam Sơn</t>
  </si>
  <si>
    <t>THPT Hàm Rồng</t>
  </si>
  <si>
    <t>THPT Đào Duy Từ</t>
  </si>
  <si>
    <t>THPT Tô Hiến Thành</t>
  </si>
  <si>
    <t>THPT Nguyễn Trãi</t>
  </si>
  <si>
    <t>THPT Đào Duy Anh</t>
  </si>
  <si>
    <t>THPT Trường Thi</t>
  </si>
  <si>
    <t>THPT Lý Thường Kiệt</t>
  </si>
  <si>
    <t>THPT Dân Tộc Nội Trú Thanh Hóa</t>
  </si>
  <si>
    <t>Cao đẳng Kinh tế Kỹ Thuật Công thương</t>
  </si>
  <si>
    <t>Trung Cấp Nghề Kỹ Nghệ Thanh Hóa</t>
  </si>
  <si>
    <t>THPT Tĩnh Gia 3</t>
  </si>
  <si>
    <t>TC Công nghiệp Bách Khoa</t>
  </si>
  <si>
    <t>THPT Chu Văn An</t>
  </si>
  <si>
    <t>THCS&amp;THPT Nghi Sơn</t>
  </si>
  <si>
    <t>THPT Tĩnh Gia 2</t>
  </si>
  <si>
    <t>CĐ Bách Khoa Việt Nam</t>
  </si>
  <si>
    <t>THPT Nguyễn Huệ</t>
  </si>
  <si>
    <t>TC Nghề Thanh thiếu niên Khuyết tật đặc biệt khó khăn</t>
  </si>
  <si>
    <t>TC Công nghệ và Y dược miền Trung</t>
  </si>
  <si>
    <t>CĐ Nghề số 4 - Bộ Quốc phòng</t>
  </si>
  <si>
    <t>TC Thương Mại Du Lịch Thanh Hóa</t>
  </si>
  <si>
    <t>THPT Sầm Sơn</t>
  </si>
  <si>
    <t>THPT Nguyễn Thị Lợi</t>
  </si>
  <si>
    <t>THPT Tĩnh Gia 4</t>
  </si>
  <si>
    <t>THPT Tĩnh Gia 1</t>
  </si>
  <si>
    <t>CĐ nghề Nghi Sơn</t>
  </si>
  <si>
    <t>THPT Bá Thước</t>
  </si>
  <si>
    <t>THPT Tống Duy Tân</t>
  </si>
  <si>
    <t>THPT Cẩm Thuỷ 2</t>
  </si>
  <si>
    <t>THPT Cẩm Thuỷ 3</t>
  </si>
  <si>
    <t>THPT Cẩm Thủy 1</t>
  </si>
  <si>
    <t>THPT Nông Cống 3</t>
  </si>
  <si>
    <t>THPT Hà Văn Mao</t>
  </si>
  <si>
    <t>THPT Triệu Sơn 5</t>
  </si>
  <si>
    <t>THPT Hoàng Lê Kha</t>
  </si>
  <si>
    <t>THPT Hậu Lộc 2</t>
  </si>
  <si>
    <t>THPT Mai Anh Tuấn</t>
  </si>
  <si>
    <t>THPT Hậu Lộc I</t>
  </si>
  <si>
    <t>THPT Lương Đắc Bằng</t>
  </si>
  <si>
    <t>THPT Hoằng Hóa 4</t>
  </si>
  <si>
    <t>THPT Hoằng Hoá 2</t>
  </si>
  <si>
    <t>THPT Hoằng Hóa 3</t>
  </si>
  <si>
    <t>THPT Hoằng Hóa</t>
  </si>
  <si>
    <t>THPT Hà Trung</t>
  </si>
  <si>
    <t>THPT Quan Hoá</t>
  </si>
  <si>
    <t>THPT Triệu Sơn 3</t>
  </si>
  <si>
    <t>THPT Lê Lai</t>
  </si>
  <si>
    <t>THPT Thạch Thành 1</t>
  </si>
  <si>
    <t>TC nghề Thạch Thành</t>
  </si>
  <si>
    <t>THPT Lam Kinh</t>
  </si>
  <si>
    <t>THPT Thọ Xuân 5</t>
  </si>
  <si>
    <t>THPT Lang Chánh</t>
  </si>
  <si>
    <t>THPT Thường Xuân 2</t>
  </si>
  <si>
    <t>THPT Quảng Xương 1</t>
  </si>
  <si>
    <t>TC nghề Miền núi TH</t>
  </si>
  <si>
    <t>THPT Mường Lát</t>
  </si>
  <si>
    <t>THCS&amp;THPT Quan Sơn</t>
  </si>
  <si>
    <t>THPT Ba Đình</t>
  </si>
  <si>
    <t>THPT Nga Sơn</t>
  </si>
  <si>
    <t>TC nghề Nga Sơn</t>
  </si>
  <si>
    <t>THPT Ngọc Lặc</t>
  </si>
  <si>
    <t>THPT DTNT Ngọc Lặc</t>
  </si>
  <si>
    <t>THPT Bắc Sơn</t>
  </si>
  <si>
    <t>THPT Như Thanh</t>
  </si>
  <si>
    <t>THPT Như Xuân</t>
  </si>
  <si>
    <t>THPT Nông Cống 1</t>
  </si>
  <si>
    <t>THCS&amp;THPT Bá Thước</t>
  </si>
  <si>
    <t>THPT Quan Sơn</t>
  </si>
  <si>
    <t>THPT Đặng Thai Mai</t>
  </si>
  <si>
    <t>THPT Quảng Xương 2</t>
  </si>
  <si>
    <t>TC Công nghệ Xanh</t>
  </si>
  <si>
    <t>THPT Triệu Sơn 2</t>
  </si>
  <si>
    <t>THPT Thạch Thành 2</t>
  </si>
  <si>
    <t>THPT Thạch Thành 4</t>
  </si>
  <si>
    <t>THPT Nông Cống 2</t>
  </si>
  <si>
    <t>THPT Như Thanh 2</t>
  </si>
  <si>
    <t>THCS&amp;THPT Như Xuân</t>
  </si>
  <si>
    <t>THCS&amp;THPT Quan Hóa</t>
  </si>
  <si>
    <t>THPT Thiệu Hóa</t>
  </si>
  <si>
    <t>THPT Nguyễn Quán Nho</t>
  </si>
  <si>
    <t>THPT Lê Văn Hưu</t>
  </si>
  <si>
    <t>THPT Thọ Xuân 4</t>
  </si>
  <si>
    <t>THPT Triệu Sơn 4</t>
  </si>
  <si>
    <t>THPT Lê Lợi</t>
  </si>
  <si>
    <t>THPT Cầm Bá Thước</t>
  </si>
  <si>
    <t>THPT Quảng Xương 4</t>
  </si>
  <si>
    <t>THPT Hậu Lộc 3</t>
  </si>
  <si>
    <t>THPT Triệu Sơn 1</t>
  </si>
  <si>
    <t>CĐ Nông nghiệp Thanh Hóa</t>
  </si>
  <si>
    <t>THPT Nông Cống</t>
  </si>
  <si>
    <t>THPT Nông Cống 4</t>
  </si>
  <si>
    <t>THPT Thạch Thành 3</t>
  </si>
  <si>
    <t>THPT Hậu Lộc 4</t>
  </si>
  <si>
    <t>THPT Thường Xuân 3</t>
  </si>
  <si>
    <t>THPT Vĩnh Lộc</t>
  </si>
  <si>
    <t>THPT Như Xuân 2</t>
  </si>
  <si>
    <t>THCS&amp;THPT Như Thanh</t>
  </si>
  <si>
    <t>THPT Lê Hoàn</t>
  </si>
  <si>
    <t>THPT Yên Định 1</t>
  </si>
  <si>
    <t>THPT Yên Định 3</t>
  </si>
  <si>
    <t>THCS&amp;THPT Thống nhất</t>
  </si>
  <si>
    <t>THPT Yên Định 2</t>
  </si>
  <si>
    <t>THCS Minh Khai</t>
  </si>
  <si>
    <t>THCS Đông Cương</t>
  </si>
  <si>
    <t>THCS Quảng Thành</t>
  </si>
  <si>
    <t>THCS Quảng Hưng</t>
  </si>
  <si>
    <t>THCS Lý Tự Trọng</t>
  </si>
  <si>
    <t>THCS Trần Mai Ninh</t>
  </si>
  <si>
    <t>THCS Đông Hải</t>
  </si>
  <si>
    <t>THCS Đông Hương</t>
  </si>
  <si>
    <t>THCS Hàm Rồng</t>
  </si>
  <si>
    <t>THCS Nam Ngạn</t>
  </si>
  <si>
    <t>THCS Đông Thọ</t>
  </si>
  <si>
    <t>THCS Cù Chính Lan</t>
  </si>
  <si>
    <t>THCS Điện Biên</t>
  </si>
  <si>
    <t>THCS Tân Sơn</t>
  </si>
  <si>
    <t>THCS Trần Phú</t>
  </si>
  <si>
    <t>THCS Quang Trung</t>
  </si>
  <si>
    <t>THCS Nguyễn Văn Trỗi</t>
  </si>
  <si>
    <t>THCS Lê Lợi</t>
  </si>
  <si>
    <t>THCS Quảng Thắng</t>
  </si>
  <si>
    <t>THCS Hà Lan</t>
  </si>
  <si>
    <t>THCS Ba Đình</t>
  </si>
  <si>
    <t>THCS Lê Quý Đôn</t>
  </si>
  <si>
    <t>THCS Ngọc Trạo</t>
  </si>
  <si>
    <t>THCS Bắc Sơn</t>
  </si>
  <si>
    <t>THCS Xi Măng</t>
  </si>
  <si>
    <t>THCS Trường Sơn</t>
  </si>
  <si>
    <t>THCS Bắc Sơn Sầm Sơn</t>
  </si>
  <si>
    <t>THCS Trung Sơn</t>
  </si>
  <si>
    <t>THCS Quảng Tiến</t>
  </si>
  <si>
    <t>THCS Quảng Cư</t>
  </si>
  <si>
    <t>THCS Nguyễn Hồng Lễ</t>
  </si>
  <si>
    <t>PTDTBT THCS Pù Nhi</t>
  </si>
  <si>
    <t>phổ thông DTBT THCS Tam Chung</t>
  </si>
  <si>
    <t>THCS Tén Tằn</t>
  </si>
  <si>
    <t>THCS Quang Chiểu</t>
  </si>
  <si>
    <t>THCS Mường Chanh</t>
  </si>
  <si>
    <t>PT DTBT THCS Trung Lý</t>
  </si>
  <si>
    <t>PTDT Bán Trú THCS Mường Lý</t>
  </si>
  <si>
    <t>THCS Nhi Sơn</t>
  </si>
  <si>
    <t>PT DTNT THCS Mường Lát</t>
  </si>
  <si>
    <t>THCS Thành Sơn</t>
  </si>
  <si>
    <t>THCS Phú Thanh</t>
  </si>
  <si>
    <t>THCS Nam Tiến</t>
  </si>
  <si>
    <t>THCS Hiền Kiệt</t>
  </si>
  <si>
    <t>THCS Hiền Chung</t>
  </si>
  <si>
    <t>THCS Nam Động</t>
  </si>
  <si>
    <t>THCS Hồi Xuân</t>
  </si>
  <si>
    <t>THCS Nam Xuân</t>
  </si>
  <si>
    <t>PT DTNT THCS Quan Hóa</t>
  </si>
  <si>
    <t>THCS Quan Hoá</t>
  </si>
  <si>
    <t>THCS Phú Sơn</t>
  </si>
  <si>
    <t>PT Dân Tộc Bán Trú THCS Phú Xuân</t>
  </si>
  <si>
    <t>THCS Trung Thành</t>
  </si>
  <si>
    <t>THCS Thành Lâm</t>
  </si>
  <si>
    <t>THCS Bùi Xuân Chúc</t>
  </si>
  <si>
    <t>THCS Văn Nho</t>
  </si>
  <si>
    <t>THCS Điền Thượng</t>
  </si>
  <si>
    <t>THCS Lũng Cao</t>
  </si>
  <si>
    <t>THCS Cổ Lũng</t>
  </si>
  <si>
    <t>THCS Kỳ Tân</t>
  </si>
  <si>
    <t>THCS Thiết Kế</t>
  </si>
  <si>
    <t>THCS Điền Trung</t>
  </si>
  <si>
    <t>THCS Lương Nội</t>
  </si>
  <si>
    <t>THCS Ái Thượng</t>
  </si>
  <si>
    <t>THCS Điền Hạ</t>
  </si>
  <si>
    <t>THCS Tân Lập</t>
  </si>
  <si>
    <t>THCS Lương Ngoại</t>
  </si>
  <si>
    <t>THCS Hạ Trung</t>
  </si>
  <si>
    <t>THCS Lương Trung</t>
  </si>
  <si>
    <t>THCS Điền Lư</t>
  </si>
  <si>
    <t>THCS Ban Công</t>
  </si>
  <si>
    <t>THCS Thiết Ống</t>
  </si>
  <si>
    <t>THCS Cành Nàng</t>
  </si>
  <si>
    <t>THCS Lâm Xa</t>
  </si>
  <si>
    <t>phổ thông DTNT THCS Bá Thước</t>
  </si>
  <si>
    <t>THCS Trung Hạ</t>
  </si>
  <si>
    <t>THCS Trung Thượng</t>
  </si>
  <si>
    <t>THCS Sơn Lư</t>
  </si>
  <si>
    <t>THCS Sơn Hà</t>
  </si>
  <si>
    <t>THCS Tam Lư</t>
  </si>
  <si>
    <t>THCS Tam Thanh</t>
  </si>
  <si>
    <t>THCS Sơn Điện</t>
  </si>
  <si>
    <t>PT DTBT THCS Sơn Thủy</t>
  </si>
  <si>
    <t>PTDT Nội Trú THCS Quan Sơn</t>
  </si>
  <si>
    <t>PTDTBT THCS Na Mèo</t>
  </si>
  <si>
    <t>THCS Trung Tiến</t>
  </si>
  <si>
    <t>THCS Tân Phúc</t>
  </si>
  <si>
    <t>THCS Lâm Phú</t>
  </si>
  <si>
    <t>THCS Giao Thiện</t>
  </si>
  <si>
    <t>THCS Yên Khương</t>
  </si>
  <si>
    <t>THCS Linh Sơn</t>
  </si>
  <si>
    <t>THCS Yên Thắng</t>
  </si>
  <si>
    <t>THCS Đồng Lương</t>
  </si>
  <si>
    <t>PTDTNT THCS Lang Chánh</t>
  </si>
  <si>
    <t>THCS Ngọc Lặc</t>
  </si>
  <si>
    <t>THCS Lam Sơn</t>
  </si>
  <si>
    <t>THCS Vân Am</t>
  </si>
  <si>
    <t>THCS Kiên Thọ</t>
  </si>
  <si>
    <t>THCS Thúy Sơn</t>
  </si>
  <si>
    <t>THCS Ngọc Khê</t>
  </si>
  <si>
    <t>THCS Minh Sơn</t>
  </si>
  <si>
    <t>THCS Ngọc Trung</t>
  </si>
  <si>
    <t>THCS Nguyệt Ấn</t>
  </si>
  <si>
    <t>THCS Minh Tiến</t>
  </si>
  <si>
    <t>THCS Ngọc Liên</t>
  </si>
  <si>
    <t>THCS Ngọc Sơn</t>
  </si>
  <si>
    <t>THCS Phúc Thịnh</t>
  </si>
  <si>
    <t>THCS Thạch Lập</t>
  </si>
  <si>
    <t>THCS Phùng Giáo</t>
  </si>
  <si>
    <t>THCS Cao Thịnh</t>
  </si>
  <si>
    <t>THCS Mỹ Tân</t>
  </si>
  <si>
    <t>THCS Cao Ngọc</t>
  </si>
  <si>
    <t>THCS Lê Đình Chinh</t>
  </si>
  <si>
    <t>PT Dân tộc nội trú THCS Ngọc Lặc</t>
  </si>
  <si>
    <t>THCS Cẩm Bình</t>
  </si>
  <si>
    <t>THCS Cẩm Thủy</t>
  </si>
  <si>
    <t>THCS Cẩm Sơn</t>
  </si>
  <si>
    <t>THCS Cẩm Châu</t>
  </si>
  <si>
    <t>THCS Cẩm Phong</t>
  </si>
  <si>
    <t>THCS Cẩm Vân</t>
  </si>
  <si>
    <t>THCS Trương Công Man</t>
  </si>
  <si>
    <t>THCS Cẩm Tân</t>
  </si>
  <si>
    <t>THCS Cẩm Long</t>
  </si>
  <si>
    <t>THCS Cẩm Tú</t>
  </si>
  <si>
    <t>THCS Cẩm Ngọc</t>
  </si>
  <si>
    <t>THCS Cẩm Thành</t>
  </si>
  <si>
    <t>THCS Cẩm Thạch</t>
  </si>
  <si>
    <t>THCS Cẩm Giang</t>
  </si>
  <si>
    <t>THCS Cẩm Quý</t>
  </si>
  <si>
    <t>PTDTNT THCS Cẩm Thủy</t>
  </si>
  <si>
    <t>THCS Thạch Lâm</t>
  </si>
  <si>
    <t>THCS Thạch Tượng</t>
  </si>
  <si>
    <t>THCS Thạch Quảng</t>
  </si>
  <si>
    <t>THCS Thạch Cẩm</t>
  </si>
  <si>
    <t>THCS Thạch Sơn</t>
  </si>
  <si>
    <t>THCS Thạch Bình</t>
  </si>
  <si>
    <t>THCS Thạch Đồng</t>
  </si>
  <si>
    <t>THCS Thạch Long</t>
  </si>
  <si>
    <t>THCS Thành Yên</t>
  </si>
  <si>
    <t>THCS Thành Mỹ</t>
  </si>
  <si>
    <t>THCS Thành Vinh</t>
  </si>
  <si>
    <t>THCS Thành Trực</t>
  </si>
  <si>
    <t>THCS Thành Kim</t>
  </si>
  <si>
    <t>THCS Thành Hưng</t>
  </si>
  <si>
    <t>THCS Thành Tiến</t>
  </si>
  <si>
    <t>THCS Thành Long</t>
  </si>
  <si>
    <t>THCS Thành Thọ</t>
  </si>
  <si>
    <t>THCS Thành An</t>
  </si>
  <si>
    <t>THCS Thành Minh</t>
  </si>
  <si>
    <t>THCS Thành Công</t>
  </si>
  <si>
    <t>THCS Thành Tân</t>
  </si>
  <si>
    <t>THCS Thành Vân</t>
  </si>
  <si>
    <t>THCS Vân Du</t>
  </si>
  <si>
    <t>THCS Thành Tâm</t>
  </si>
  <si>
    <t>THCS Phạm Văn Hinh</t>
  </si>
  <si>
    <t>PT DTNT THCS Thạch Thành</t>
  </si>
  <si>
    <t>THCS Hà Ngọc</t>
  </si>
  <si>
    <t>THCS Hoạt Giang</t>
  </si>
  <si>
    <t>THCS Yên Dương</t>
  </si>
  <si>
    <t>THCS Hà Trung</t>
  </si>
  <si>
    <t>THCS Lý Thường Kiệt</t>
  </si>
  <si>
    <t>THCS Hà Lĩnh</t>
  </si>
  <si>
    <t>THCS Hà Sơn</t>
  </si>
  <si>
    <t>THCS Hà Đông</t>
  </si>
  <si>
    <t>THCS Yến Sơn</t>
  </si>
  <si>
    <t>THCS Hà Bình</t>
  </si>
  <si>
    <t>THCS Phú Hải Toại</t>
  </si>
  <si>
    <t>THCS Hà Thái</t>
  </si>
  <si>
    <t>THCS Hà Lai</t>
  </si>
  <si>
    <t>THCS Hà Vinh</t>
  </si>
  <si>
    <t>THCS Hà Châu</t>
  </si>
  <si>
    <t>THCS Hà Tiến</t>
  </si>
  <si>
    <t>THCS Hà Tân</t>
  </si>
  <si>
    <t>THCS Hà Giang</t>
  </si>
  <si>
    <t>THCS Hà Long</t>
  </si>
  <si>
    <t>THCS Hà Bắc</t>
  </si>
  <si>
    <t>THCS Vĩnh Quang</t>
  </si>
  <si>
    <t>THCS Vĩnh An</t>
  </si>
  <si>
    <t>THCS Vĩnh Thịnh</t>
  </si>
  <si>
    <t>THCS Vĩnh Minh</t>
  </si>
  <si>
    <t>THCS Nguyễn Đan Quế</t>
  </si>
  <si>
    <t>THCS Vĩnh Hòa</t>
  </si>
  <si>
    <t>THCS Vĩnh Ninh</t>
  </si>
  <si>
    <t>THCS Vĩnh Thành</t>
  </si>
  <si>
    <t>THCS Vĩnh Phúc</t>
  </si>
  <si>
    <t>THCS Vĩnh Hưng</t>
  </si>
  <si>
    <t>THCS Vĩnh Yên</t>
  </si>
  <si>
    <t>THCS Tây Đô</t>
  </si>
  <si>
    <t>THCS Quý Lộc</t>
  </si>
  <si>
    <t>THCS Yên Trung</t>
  </si>
  <si>
    <t>THCS Yên Thọ</t>
  </si>
  <si>
    <t>THCS Yên Lâm</t>
  </si>
  <si>
    <t>THCS Yên Tâm</t>
  </si>
  <si>
    <t>THCS Yên Phú</t>
  </si>
  <si>
    <t>THCS Yên Phong</t>
  </si>
  <si>
    <t>THCS Yên Thái</t>
  </si>
  <si>
    <t>THCS Yên Trường</t>
  </si>
  <si>
    <t>THCS Yên Hùng</t>
  </si>
  <si>
    <t>THCS Hà Tông Huân</t>
  </si>
  <si>
    <t>THCS Yên Lạc</t>
  </si>
  <si>
    <t>THCS Định Tăng</t>
  </si>
  <si>
    <t>THCS Định Tường</t>
  </si>
  <si>
    <t>THCS Định Long</t>
  </si>
  <si>
    <t>THCS Định Liên</t>
  </si>
  <si>
    <t>THCS Định Tân</t>
  </si>
  <si>
    <t>THCS Định Tiến</t>
  </si>
  <si>
    <t>THCS Định Hưng</t>
  </si>
  <si>
    <t>THCS Định Hải</t>
  </si>
  <si>
    <t>THCS Định Hòa</t>
  </si>
  <si>
    <t>THCS Định Bình</t>
  </si>
  <si>
    <t>THCS Định Thành</t>
  </si>
  <si>
    <t>THCS Định Công</t>
  </si>
  <si>
    <t>THCS Quán Lào</t>
  </si>
  <si>
    <t>THCS Lê Đình Kiên</t>
  </si>
  <si>
    <t>THCS Xuân Trường</t>
  </si>
  <si>
    <t>THCS Xuân Bái</t>
  </si>
  <si>
    <t>THCS Xuân Hòa</t>
  </si>
  <si>
    <t>THCS Xuân Phong</t>
  </si>
  <si>
    <t>THCS Bắc Lương</t>
  </si>
  <si>
    <t>THCS Thọ Xuân</t>
  </si>
  <si>
    <t>THCS Thọ Lâm</t>
  </si>
  <si>
    <t>THCS Sao Vàng</t>
  </si>
  <si>
    <t>THCS Thọ Hải</t>
  </si>
  <si>
    <t>THCS Xuân Hồng</t>
  </si>
  <si>
    <t>THCS Xuân Lai</t>
  </si>
  <si>
    <t>THCS Thọ Xương</t>
  </si>
  <si>
    <t>THCS Nam Giang</t>
  </si>
  <si>
    <t>THCS Xuân Thiên</t>
  </si>
  <si>
    <t>THCS Tây Hồ</t>
  </si>
  <si>
    <t>THCS Xuân Hưng</t>
  </si>
  <si>
    <t>THCS Xuân Sinh</t>
  </si>
  <si>
    <t>THCS Xuân Lập</t>
  </si>
  <si>
    <t>THCS Xuân Tín</t>
  </si>
  <si>
    <t>THCS Thuận Minh</t>
  </si>
  <si>
    <t>THCS Xuân Phú</t>
  </si>
  <si>
    <t>THCS Xuân Minh</t>
  </si>
  <si>
    <t>THCS Quảng Phú</t>
  </si>
  <si>
    <t>THCS Thọ Lộc</t>
  </si>
  <si>
    <t>THCS Xuân Giang</t>
  </si>
  <si>
    <t>THCS Thọ Diên</t>
  </si>
  <si>
    <t>THCS Trường Xuân</t>
  </si>
  <si>
    <t>THCS Phú Xuân</t>
  </si>
  <si>
    <t>THCS Thọ Lập</t>
  </si>
  <si>
    <t>THCS Lê Thánh Tông</t>
  </si>
  <si>
    <t>THCS Xuân Thắng</t>
  </si>
  <si>
    <t>THCS Xuân Lẹ</t>
  </si>
  <si>
    <t>THCS Bát Mọt</t>
  </si>
  <si>
    <t>THCS Luận Thành</t>
  </si>
  <si>
    <t>THCS Xuân Dương</t>
  </si>
  <si>
    <t>THCS Thọ Thanh</t>
  </si>
  <si>
    <t>THCS Xuân Cao</t>
  </si>
  <si>
    <t>PTDTBT THCS Luận Khê</t>
  </si>
  <si>
    <t>PTDTBT THCS Xuân Chinh</t>
  </si>
  <si>
    <t>THCS Yên Nhân</t>
  </si>
  <si>
    <t>THCS Vạn Xuân</t>
  </si>
  <si>
    <t>THCS Xuân Lộc</t>
  </si>
  <si>
    <t>THCS Lương Sơn</t>
  </si>
  <si>
    <t>THCS Ngọc Phụng</t>
  </si>
  <si>
    <t>THCS Tân Thành</t>
  </si>
  <si>
    <t>PTDTNT THCS Thường Xuân</t>
  </si>
  <si>
    <t>THCS Thường Xuân</t>
  </si>
  <si>
    <t>THCS Xuân Cẩm</t>
  </si>
  <si>
    <t>THCS Dân Quyền</t>
  </si>
  <si>
    <t>THCS Khuyến Nông</t>
  </si>
  <si>
    <t>THCS Thọ Cường</t>
  </si>
  <si>
    <t>THCS Thọ Tân</t>
  </si>
  <si>
    <t>THCS Tiến Nông</t>
  </si>
  <si>
    <t>THCS Dân Lực</t>
  </si>
  <si>
    <t>THCS Thọ Tiến</t>
  </si>
  <si>
    <t>THCS Đồng Tiến</t>
  </si>
  <si>
    <t>THCS Xuân Thọ</t>
  </si>
  <si>
    <t>THCS Triệu Thành</t>
  </si>
  <si>
    <t>THCS Thọ Vực</t>
  </si>
  <si>
    <t>THCS Thọ Dân</t>
  </si>
  <si>
    <t>THCS Hợp Thắng</t>
  </si>
  <si>
    <t>THCS An Nông</t>
  </si>
  <si>
    <t>THCS Vân sơn</t>
  </si>
  <si>
    <t>THCS Thọ Thế</t>
  </si>
  <si>
    <t>THCS Đồng Lợi</t>
  </si>
  <si>
    <t>THCS Dân Lý</t>
  </si>
  <si>
    <t>THCS Đồng Thắng</t>
  </si>
  <si>
    <t>THCS Tân Ninh</t>
  </si>
  <si>
    <t>THCS Thọ Ngọc</t>
  </si>
  <si>
    <t>THCS Nông Trường</t>
  </si>
  <si>
    <t>THCS Hợp Thành</t>
  </si>
  <si>
    <t>THCS Hợp Lý</t>
  </si>
  <si>
    <t>THCS Thọ Bình</t>
  </si>
  <si>
    <t>THCS Thọ Sơn</t>
  </si>
  <si>
    <t>THCS Thái Hoà</t>
  </si>
  <si>
    <t>THCS Triệu Thị Trinh</t>
  </si>
  <si>
    <t>THCS Tô Vĩnh Diện</t>
  </si>
  <si>
    <t>THCS Thiệu Ngọc</t>
  </si>
  <si>
    <t>THCS Thiệu Vũ</t>
  </si>
  <si>
    <t>THCS Thiệu Tiến</t>
  </si>
  <si>
    <t>THCS Thiệu Thành</t>
  </si>
  <si>
    <t>THCS Thiệu Công</t>
  </si>
  <si>
    <t>THCS Thiệu Phú</t>
  </si>
  <si>
    <t>THCS Thiệu Phúc</t>
  </si>
  <si>
    <t>THCS Vạn Hà</t>
  </si>
  <si>
    <t>THCS Thiệu Nguyên</t>
  </si>
  <si>
    <t>THCS Thiệu Duy</t>
  </si>
  <si>
    <t>THCS Thiệu Hợp</t>
  </si>
  <si>
    <t>THCS Thiệu Quang</t>
  </si>
  <si>
    <t>THCS Thiệu Long</t>
  </si>
  <si>
    <t>THCS Thiệu Giang</t>
  </si>
  <si>
    <t>THCS Thiệu Toán</t>
  </si>
  <si>
    <t>THCS Thiệu Chính</t>
  </si>
  <si>
    <t>THCS Thiệu Hòa</t>
  </si>
  <si>
    <t>THCS Thiệu Tâm</t>
  </si>
  <si>
    <t>THCS Thiệu Lý</t>
  </si>
  <si>
    <t>THCS Thiệu Viên</t>
  </si>
  <si>
    <t>THCS Thiệu Trung</t>
  </si>
  <si>
    <t>THCS Thiệu Đô</t>
  </si>
  <si>
    <t>THCS Thiệu Khánh</t>
  </si>
  <si>
    <t>THCS Thiệu Dương</t>
  </si>
  <si>
    <t>THCS Hoằng Giang</t>
  </si>
  <si>
    <t>THCS Hoằng Xuân</t>
  </si>
  <si>
    <t>THCS Hoằng Phượng</t>
  </si>
  <si>
    <t>THCS Hoằng Quý</t>
  </si>
  <si>
    <t>THCS Hoằng Kim</t>
  </si>
  <si>
    <t>THCS Hoằng Trung</t>
  </si>
  <si>
    <t>THCS Hoằng Trinh</t>
  </si>
  <si>
    <t>THCS Hoằng Xuyên</t>
  </si>
  <si>
    <t>THCS Hoằng Cát</t>
  </si>
  <si>
    <t>THCS Tào Xuyên</t>
  </si>
  <si>
    <t>THCS Hoằng Hợp</t>
  </si>
  <si>
    <t>THCS Hoằng Quang</t>
  </si>
  <si>
    <t>THCS Long Anh</t>
  </si>
  <si>
    <t>THCS Bút Sơn</t>
  </si>
  <si>
    <t>THCS Hoằng Đạt</t>
  </si>
  <si>
    <t>THCS Hoằng Thịnh</t>
  </si>
  <si>
    <t>THCS Hoằng Thái</t>
  </si>
  <si>
    <t>THCS Tố Như - Hoằng Lộc</t>
  </si>
  <si>
    <t>THCS Hoằng Thành</t>
  </si>
  <si>
    <t>THCS Hoằng Trạch</t>
  </si>
  <si>
    <t>THCS Hoằng Đại</t>
  </si>
  <si>
    <t>THCS Hoằng Phong</t>
  </si>
  <si>
    <t>THCS Hoằng Lưu</t>
  </si>
  <si>
    <t>THCS Hoằng Châu</t>
  </si>
  <si>
    <t>THCS Hoằng Tân</t>
  </si>
  <si>
    <t>THCS Hoằng Đạo</t>
  </si>
  <si>
    <t>THCS Hoằng Thắng</t>
  </si>
  <si>
    <t>THCS Lê Quang Trường</t>
  </si>
  <si>
    <t>THCS Hoằng Hải</t>
  </si>
  <si>
    <t>THCS Hoằng Trường</t>
  </si>
  <si>
    <t>THCS Hoằng Đông</t>
  </si>
  <si>
    <t>THCS Hoằng Thanh</t>
  </si>
  <si>
    <t>THCS Hoằng Phụ</t>
  </si>
  <si>
    <t>THCS Hoằng Ngọc</t>
  </si>
  <si>
    <t>THCS Nhữ Bá Sỹ</t>
  </si>
  <si>
    <t>THCS Lộc Tân</t>
  </si>
  <si>
    <t>THCS Hoa Lộc</t>
  </si>
  <si>
    <t>THCS XUÂN LỘC</t>
  </si>
  <si>
    <t>THCS Tuy Lộc</t>
  </si>
  <si>
    <t>THCS Đại Lộc</t>
  </si>
  <si>
    <t>THCS Triệu Lộc</t>
  </si>
  <si>
    <t>THCS Tiến Lộc</t>
  </si>
  <si>
    <t>THCS Ngư Lộc</t>
  </si>
  <si>
    <t>THCS Hậu Lộc</t>
  </si>
  <si>
    <t>THCS Minh Lộc</t>
  </si>
  <si>
    <t>THCS Hải Lộc</t>
  </si>
  <si>
    <t>THCS Cầu Lộc</t>
  </si>
  <si>
    <t>THCS Phú Lộc</t>
  </si>
  <si>
    <t>THCS Đa Lộc</t>
  </si>
  <si>
    <t>THCS Thành Lộc</t>
  </si>
  <si>
    <t>THCS Đồng Lộc</t>
  </si>
  <si>
    <t>THCS Thuần Lộc</t>
  </si>
  <si>
    <t>THCS Quang Lộc</t>
  </si>
  <si>
    <t>THCS Lê Hữu Lập</t>
  </si>
  <si>
    <t>THCS Liên Lộc</t>
  </si>
  <si>
    <t>THCS Hưng Lộc</t>
  </si>
  <si>
    <t>THCS Hòa Lộc</t>
  </si>
  <si>
    <t>THCS Nga Phượng 1</t>
  </si>
  <si>
    <t>THCS Nga Thắng</t>
  </si>
  <si>
    <t>THCS Nga Thuỷ</t>
  </si>
  <si>
    <t>THCS Nga Hải</t>
  </si>
  <si>
    <t>THCS Nga Liên</t>
  </si>
  <si>
    <t>THCS Nga Giáp</t>
  </si>
  <si>
    <t>THCS Nga Thành</t>
  </si>
  <si>
    <t>THCS Nga Thạch</t>
  </si>
  <si>
    <t>THCS Nga Phượng 2</t>
  </si>
  <si>
    <t>THCS Nga Tiến</t>
  </si>
  <si>
    <t>THCS Nga Điền</t>
  </si>
  <si>
    <t>THCS Nga Thái</t>
  </si>
  <si>
    <t>THCS Nga Phú</t>
  </si>
  <si>
    <t>THCS Nga Thanh</t>
  </si>
  <si>
    <t>THCS Nga Tân</t>
  </si>
  <si>
    <t>THCS Nga Trung</t>
  </si>
  <si>
    <t>THCS Nga Yên</t>
  </si>
  <si>
    <t>THCS Nga Sơn</t>
  </si>
  <si>
    <t>THCS Nga Bạch</t>
  </si>
  <si>
    <t>THCS Nga Trường</t>
  </si>
  <si>
    <t>THCS Nga Thiện</t>
  </si>
  <si>
    <t>THCS Chu Văn An</t>
  </si>
  <si>
    <t>THCS Nga An</t>
  </si>
  <si>
    <t>THCS Hóa Quỳ</t>
  </si>
  <si>
    <t>THCS Bãi Trành</t>
  </si>
  <si>
    <t>THCS Thượng Ninh</t>
  </si>
  <si>
    <t>PTDT NT THCS Như Xuân</t>
  </si>
  <si>
    <t>THCS Thanh Phong</t>
  </si>
  <si>
    <t>THCS Thanh Xuân</t>
  </si>
  <si>
    <t>THCS Thanh Lâm</t>
  </si>
  <si>
    <t>THCS Cát Tân</t>
  </si>
  <si>
    <t>THCS Yên Cát</t>
  </si>
  <si>
    <t>THCS Xuân Bình</t>
  </si>
  <si>
    <t>THCS Thanh Sơn</t>
  </si>
  <si>
    <t>THCS Xuân Khang</t>
  </si>
  <si>
    <t>THCS Xuân Phúc</t>
  </si>
  <si>
    <t>PTDTBT THCS Thanh Tân</t>
  </si>
  <si>
    <t>THCS Thanh Kỳ</t>
  </si>
  <si>
    <t>THCS Xuân Thái</t>
  </si>
  <si>
    <t>THCS Xuân Du</t>
  </si>
  <si>
    <t>THCS Cán Khê</t>
  </si>
  <si>
    <t>THCS Mậu Lâm</t>
  </si>
  <si>
    <t>THCS Bến Sung</t>
  </si>
  <si>
    <t>THCS Phú Nhuận</t>
  </si>
  <si>
    <t>THCS Hải Long</t>
  </si>
  <si>
    <t>PTDTNT THCS Như Thanh</t>
  </si>
  <si>
    <t>THCS Tân Thọ</t>
  </si>
  <si>
    <t>THCS Tân Khang</t>
  </si>
  <si>
    <t>THCS Công Chính</t>
  </si>
  <si>
    <t>THCS Trung Chính</t>
  </si>
  <si>
    <t>THCS Hoàng Giang</t>
  </si>
  <si>
    <t>THCS Hoàng Sơn</t>
  </si>
  <si>
    <t>THCS Tế Thắng</t>
  </si>
  <si>
    <t>THCS Tế Lợi</t>
  </si>
  <si>
    <t>THCS Tế Nông</t>
  </si>
  <si>
    <t>THCS Minh Thọ</t>
  </si>
  <si>
    <t>THCS Minh Khôi</t>
  </si>
  <si>
    <t>THCS Minh Nghĩa</t>
  </si>
  <si>
    <t>THCS Vạn Hòa</t>
  </si>
  <si>
    <t>THCS Vạn Thắng</t>
  </si>
  <si>
    <t>THCS Vạn Thiện</t>
  </si>
  <si>
    <t>THCS Trường Minh</t>
  </si>
  <si>
    <t>THCS Trường Trung</t>
  </si>
  <si>
    <t>THCS Trường Giang</t>
  </si>
  <si>
    <t>THCS Tượng Văn</t>
  </si>
  <si>
    <t>THCS Tượng Lĩnh</t>
  </si>
  <si>
    <t>THCS Tượng Sơn</t>
  </si>
  <si>
    <t>THCS Thăng Bình</t>
  </si>
  <si>
    <t>THCS Thăng Thọ</t>
  </si>
  <si>
    <t>THCS Thăng Long</t>
  </si>
  <si>
    <t>THCS Yên Mỹ</t>
  </si>
  <si>
    <t>THCS Công Liêm</t>
  </si>
  <si>
    <t>THCS Đông Tân</t>
  </si>
  <si>
    <t>THCS Đông Tiến</t>
  </si>
  <si>
    <t>THCS Nguyễn Chích</t>
  </si>
  <si>
    <t>THCS Đông Lĩnh</t>
  </si>
  <si>
    <t>THCS An Hoạch</t>
  </si>
  <si>
    <t>THCS Đông Ninh</t>
  </si>
  <si>
    <t>THCS Đông Quang</t>
  </si>
  <si>
    <t>THCS Đông Văn</t>
  </si>
  <si>
    <t>THCS Quảng Châu</t>
  </si>
  <si>
    <t>THCS Quảng Thọ</t>
  </si>
  <si>
    <t>THCS Quảng Vinh</t>
  </si>
  <si>
    <t>THCS Quảng Tâm</t>
  </si>
  <si>
    <t>THCS Quảng Cát</t>
  </si>
  <si>
    <t>THCS Quảng Minh</t>
  </si>
  <si>
    <t>THCS Quảng Hùng</t>
  </si>
  <si>
    <t>THCS Quảng Lưu</t>
  </si>
  <si>
    <t>THCS Quảng lộc</t>
  </si>
  <si>
    <t>THCS Quảng Đại</t>
  </si>
  <si>
    <t>THCS Quảng Hải</t>
  </si>
  <si>
    <t>THCS Quảng Nhân</t>
  </si>
  <si>
    <t>THCS Tiên Trang</t>
  </si>
  <si>
    <t>THCS Quảng Thái</t>
  </si>
  <si>
    <t>THCS Quảng Nham</t>
  </si>
  <si>
    <t>THCS Quảng Thạch</t>
  </si>
  <si>
    <t>THCS Nguyễn Bá Ngọc</t>
  </si>
  <si>
    <t>THCS Quảng Chính</t>
  </si>
  <si>
    <t>THCS Quảng Khê</t>
  </si>
  <si>
    <t>THCS Quảng Bình</t>
  </si>
  <si>
    <t>THCS Quảng Ninh</t>
  </si>
  <si>
    <t>THCS Tân Phong 2</t>
  </si>
  <si>
    <t>THCS Nguyễn Du</t>
  </si>
  <si>
    <t>THCS Quảng Thịnh</t>
  </si>
  <si>
    <t>THCS Quảng Đông</t>
  </si>
  <si>
    <t>THCS Quảng Định</t>
  </si>
  <si>
    <t>THCS Quảng Đức</t>
  </si>
  <si>
    <t>THCS Quảng Yên</t>
  </si>
  <si>
    <t>THCS Quảng Trạch</t>
  </si>
  <si>
    <t>THCS Quảng văn</t>
  </si>
  <si>
    <t>THCS Quảng Long</t>
  </si>
  <si>
    <t>THCS Quảng Hòa</t>
  </si>
  <si>
    <t>THCS Quảng Hợp</t>
  </si>
  <si>
    <t>THCS Quảng Phúc</t>
  </si>
  <si>
    <t>THCS Quảng Ngọc</t>
  </si>
  <si>
    <t>THCS Quảng trường</t>
  </si>
  <si>
    <t>THCS Tân Phong 1</t>
  </si>
  <si>
    <t>THCS Các Sơn</t>
  </si>
  <si>
    <t>THCS Trường Lâm</t>
  </si>
  <si>
    <t>THCS Xuân lâm</t>
  </si>
  <si>
    <t>THCS Đào Duy Từ</t>
  </si>
  <si>
    <t>THCS Hải Hòa</t>
  </si>
  <si>
    <t>THCS Thị trấn</t>
  </si>
  <si>
    <t>THCS Tân Dân</t>
  </si>
  <si>
    <t>THCS Hải Nhân</t>
  </si>
  <si>
    <t>THCS Hải Ninh</t>
  </si>
  <si>
    <t>THCS Ninh Hải</t>
  </si>
  <si>
    <t>THCS Hải Hà</t>
  </si>
  <si>
    <t>THCS Nghi Sơn</t>
  </si>
  <si>
    <t>THCS Tĩnh Hải</t>
  </si>
  <si>
    <t>THCS Hải Bình</t>
  </si>
  <si>
    <t>THCS Hải Thanh</t>
  </si>
  <si>
    <t>THCS Bình Minh</t>
  </si>
  <si>
    <t>THCS Trúc Lâm</t>
  </si>
  <si>
    <t>THCS Tùng Lâm</t>
  </si>
  <si>
    <t>THCS Phú Lâm</t>
  </si>
  <si>
    <t>THCS Tân Trường</t>
  </si>
  <si>
    <t>THCS Mai Lâm</t>
  </si>
  <si>
    <t>THCS Hải Lĩnh</t>
  </si>
  <si>
    <t>THCS Anh Sơn</t>
  </si>
  <si>
    <t>THCS Thanh Thuỷ</t>
  </si>
  <si>
    <t>THCS Hải An</t>
  </si>
  <si>
    <t>THCS Hải châu</t>
  </si>
  <si>
    <t>THCS Ngọc Lĩnh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</si>
</sst>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1.0"/>
      <color rgb="FF333333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2.0"/>
      <color rgb="FF0000FF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sz val="11.0"/>
      <color rgb="FF000000"/>
      <name val="Arial"/>
    </font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Font="1"/>
    <xf borderId="1" fillId="0" fontId="4" numFmtId="0" xfId="0" applyAlignment="1" applyBorder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3" fontId="1" numFmtId="0" xfId="0" applyAlignment="1" applyFill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0" fillId="4" fontId="1" numFmtId="0" xfId="0" applyAlignment="1" applyFill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9" numFmtId="49" xfId="0" applyAlignment="1" applyFont="1" applyNumberFormat="1">
      <alignment horizontal="left" readingOrder="0"/>
    </xf>
    <xf borderId="0" fillId="2" fontId="9" numFmtId="49" xfId="0" applyAlignment="1" applyFont="1" applyNumberFormat="1">
      <alignment readingOrder="0" vertical="bottom"/>
    </xf>
    <xf borderId="0" fillId="2" fontId="9" numFmtId="49" xfId="0" applyAlignment="1" applyFont="1" applyNumberFormat="1">
      <alignment vertical="bottom"/>
    </xf>
    <xf borderId="0" fillId="0" fontId="9" numFmtId="0" xfId="0" applyAlignment="1" applyFont="1">
      <alignment horizontal="left" readingOrder="0"/>
    </xf>
    <xf borderId="0" fillId="0" fontId="9" numFmtId="49" xfId="0" applyAlignment="1" applyFont="1" applyNumberFormat="1">
      <alignment readingOrder="0" vertical="bottom"/>
    </xf>
    <xf borderId="0" fillId="0" fontId="9" numFmtId="49" xfId="0" applyAlignment="1" applyFont="1" applyNumberFormat="1">
      <alignment vertical="bottom"/>
    </xf>
    <xf borderId="0" fillId="4" fontId="2" numFmtId="0" xfId="0" applyFont="1"/>
    <xf borderId="0" fillId="5" fontId="9" numFmtId="0" xfId="0" applyAlignment="1" applyFill="1" applyFont="1">
      <alignment horizontal="left" readingOrder="0"/>
    </xf>
    <xf borderId="0" fillId="5" fontId="9" numFmtId="49" xfId="0" applyAlignment="1" applyFont="1" applyNumberFormat="1">
      <alignment horizontal="left" readingOrder="0"/>
    </xf>
    <xf borderId="0" fillId="0" fontId="2" numFmtId="0" xfId="0" applyAlignment="1" applyFont="1">
      <alignment horizontal="center"/>
    </xf>
    <xf borderId="1" fillId="0" fontId="4" numFmtId="49" xfId="0" applyAlignment="1" applyBorder="1" applyFont="1" applyNumberFormat="1">
      <alignment horizontal="left" readingOrder="0"/>
    </xf>
    <xf borderId="1" fillId="0" fontId="4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sdl.moet.gov.vn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75"/>
    <col customWidth="1" min="3" max="3" width="20.88"/>
    <col customWidth="1" min="4" max="4" width="32.38"/>
  </cols>
  <sheetData>
    <row r="1">
      <c r="A1" s="4" t="s">
        <v>3</v>
      </c>
      <c r="B1" s="4" t="s">
        <v>2</v>
      </c>
      <c r="C1" s="4" t="s">
        <v>14</v>
      </c>
      <c r="D1" s="4" t="s">
        <v>0</v>
      </c>
      <c r="E1" s="5" t="s">
        <v>18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40</v>
      </c>
      <c r="B2" s="4">
        <f>IFERROR(__xludf.DUMMYFUNCTION("COUNTUNIQUE(B3:B1345)"),1343.0)</f>
        <v>1343</v>
      </c>
      <c r="C2" s="4">
        <f>IFERROR(__xludf.DUMMYFUNCTION("COUNTUNIQUE(C3:C1345)"),166.0)</f>
        <v>166</v>
      </c>
      <c r="D2" s="4">
        <f>counta(D3:D1450)</f>
        <v>1343</v>
      </c>
      <c r="E2" s="3" t="s">
        <v>84</v>
      </c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6">
        <v>1.0</v>
      </c>
      <c r="B3" s="17" t="s">
        <v>29</v>
      </c>
      <c r="C3" s="17" t="s">
        <v>31</v>
      </c>
      <c r="D3" s="7" t="s">
        <v>109</v>
      </c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6">
        <v>2.0</v>
      </c>
      <c r="B4" s="17" t="s">
        <v>34</v>
      </c>
      <c r="C4" s="17" t="s">
        <v>31</v>
      </c>
      <c r="D4" s="7" t="s">
        <v>124</v>
      </c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6">
        <v>3.0</v>
      </c>
      <c r="B5" s="17" t="s">
        <v>39</v>
      </c>
      <c r="C5" s="17" t="s">
        <v>31</v>
      </c>
      <c r="D5" s="7" t="s">
        <v>339</v>
      </c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6">
        <v>4.0</v>
      </c>
      <c r="B6" s="17" t="s">
        <v>43</v>
      </c>
      <c r="C6" s="17" t="s">
        <v>31</v>
      </c>
      <c r="D6" s="7" t="s">
        <v>366</v>
      </c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6">
        <v>5.0</v>
      </c>
      <c r="B7" s="17" t="s">
        <v>47</v>
      </c>
      <c r="C7" s="17" t="s">
        <v>31</v>
      </c>
      <c r="D7" s="7" t="s">
        <v>389</v>
      </c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6">
        <v>6.0</v>
      </c>
      <c r="B8" s="17" t="s">
        <v>51</v>
      </c>
      <c r="C8" s="17" t="s">
        <v>31</v>
      </c>
      <c r="D8" s="7" t="s">
        <v>412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6">
        <v>7.0</v>
      </c>
      <c r="B9" s="17" t="s">
        <v>54</v>
      </c>
      <c r="C9" s="17" t="s">
        <v>56</v>
      </c>
      <c r="D9" s="7" t="s">
        <v>425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6">
        <v>8.0</v>
      </c>
      <c r="B10" s="17" t="s">
        <v>61</v>
      </c>
      <c r="C10" s="17" t="s">
        <v>56</v>
      </c>
      <c r="D10" s="7" t="s">
        <v>443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6">
        <v>9.0</v>
      </c>
      <c r="B11" s="17" t="s">
        <v>68</v>
      </c>
      <c r="C11" s="17" t="s">
        <v>56</v>
      </c>
      <c r="D11" s="7" t="s">
        <v>469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6">
        <v>10.0</v>
      </c>
      <c r="B12" s="17" t="s">
        <v>72</v>
      </c>
      <c r="C12" s="17" t="s">
        <v>73</v>
      </c>
      <c r="D12" s="7" t="s">
        <v>493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6">
        <v>11.0</v>
      </c>
      <c r="B13" s="17" t="s">
        <v>75</v>
      </c>
      <c r="C13" s="17" t="s">
        <v>73</v>
      </c>
      <c r="D13" s="7" t="s">
        <v>519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6">
        <v>12.0</v>
      </c>
      <c r="B14" s="17" t="s">
        <v>79</v>
      </c>
      <c r="C14" s="17" t="s">
        <v>73</v>
      </c>
      <c r="D14" s="7" t="s">
        <v>537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6">
        <v>13.0</v>
      </c>
      <c r="B15" s="17" t="s">
        <v>83</v>
      </c>
      <c r="C15" s="17" t="s">
        <v>73</v>
      </c>
      <c r="D15" s="7" t="s">
        <v>554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6">
        <v>14.0</v>
      </c>
      <c r="B16" s="17" t="s">
        <v>86</v>
      </c>
      <c r="C16" s="17" t="s">
        <v>73</v>
      </c>
      <c r="D16" s="7" t="s">
        <v>575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6">
        <v>15.0</v>
      </c>
      <c r="B17" s="17" t="s">
        <v>91</v>
      </c>
      <c r="C17" s="17" t="s">
        <v>73</v>
      </c>
      <c r="D17" s="7" t="s">
        <v>599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6">
        <v>16.0</v>
      </c>
      <c r="B18" s="17" t="s">
        <v>95</v>
      </c>
      <c r="C18" s="17" t="s">
        <v>73</v>
      </c>
      <c r="D18" s="7" t="s">
        <v>614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6">
        <v>17.0</v>
      </c>
      <c r="B19" s="17" t="s">
        <v>98</v>
      </c>
      <c r="C19" s="17" t="s">
        <v>73</v>
      </c>
      <c r="D19" s="7" t="s">
        <v>632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6">
        <v>18.0</v>
      </c>
      <c r="B20" s="17" t="s">
        <v>102</v>
      </c>
      <c r="C20" s="17" t="s">
        <v>73</v>
      </c>
      <c r="D20" s="7" t="s">
        <v>653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6">
        <v>19.0</v>
      </c>
      <c r="B21" s="17" t="s">
        <v>16</v>
      </c>
      <c r="C21" s="17" t="s">
        <v>17</v>
      </c>
      <c r="D21" s="7" t="s">
        <v>677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6">
        <v>20.0</v>
      </c>
      <c r="B22" s="17" t="s">
        <v>104</v>
      </c>
      <c r="C22" s="17" t="s">
        <v>17</v>
      </c>
      <c r="D22" s="7" t="s">
        <v>702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6">
        <v>21.0</v>
      </c>
      <c r="B23" s="17" t="s">
        <v>106</v>
      </c>
      <c r="C23" s="17" t="s">
        <v>17</v>
      </c>
      <c r="D23" s="7" t="s">
        <v>731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6">
        <v>22.0</v>
      </c>
      <c r="B24" s="17" t="s">
        <v>111</v>
      </c>
      <c r="C24" s="17" t="s">
        <v>17</v>
      </c>
      <c r="D24" s="7" t="s">
        <v>110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6">
        <v>23.0</v>
      </c>
      <c r="B25" s="17" t="s">
        <v>114</v>
      </c>
      <c r="C25" s="17" t="s">
        <v>17</v>
      </c>
      <c r="D25" s="7" t="s">
        <v>802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6">
        <v>24.0</v>
      </c>
      <c r="B26" s="17" t="s">
        <v>117</v>
      </c>
      <c r="C26" s="17" t="s">
        <v>17</v>
      </c>
      <c r="D26" s="7" t="s">
        <v>834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6">
        <v>25.0</v>
      </c>
      <c r="B27" s="17" t="s">
        <v>121</v>
      </c>
      <c r="C27" s="17" t="s">
        <v>17</v>
      </c>
      <c r="D27" s="7" t="s">
        <v>860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6">
        <v>26.0</v>
      </c>
      <c r="B28" s="17" t="s">
        <v>123</v>
      </c>
      <c r="C28" s="17" t="s">
        <v>17</v>
      </c>
      <c r="D28" s="7" t="s">
        <v>884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6">
        <v>27.0</v>
      </c>
      <c r="B29" s="17" t="s">
        <v>128</v>
      </c>
      <c r="C29" s="17" t="s">
        <v>17</v>
      </c>
      <c r="D29" s="7" t="s">
        <v>906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6">
        <v>28.0</v>
      </c>
      <c r="B30" s="17" t="s">
        <v>130</v>
      </c>
      <c r="C30" s="17" t="s">
        <v>17</v>
      </c>
      <c r="D30" s="7" t="s">
        <v>934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6">
        <v>29.0</v>
      </c>
      <c r="B31" s="17" t="s">
        <v>134</v>
      </c>
      <c r="C31" s="17" t="s">
        <v>135</v>
      </c>
      <c r="D31" s="7" t="s">
        <v>956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6">
        <v>30.0</v>
      </c>
      <c r="B32" s="17" t="s">
        <v>138</v>
      </c>
      <c r="C32" s="17" t="s">
        <v>135</v>
      </c>
      <c r="D32" s="7" t="s">
        <v>980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6">
        <v>31.0</v>
      </c>
      <c r="B33" s="17" t="s">
        <v>141</v>
      </c>
      <c r="C33" s="17" t="s">
        <v>135</v>
      </c>
      <c r="D33" s="7" t="s">
        <v>1004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6">
        <v>32.0</v>
      </c>
      <c r="B34" s="17" t="s">
        <v>145</v>
      </c>
      <c r="C34" s="17" t="s">
        <v>135</v>
      </c>
      <c r="D34" s="7" t="s">
        <v>1027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6">
        <v>33.0</v>
      </c>
      <c r="B35" s="17" t="s">
        <v>147</v>
      </c>
      <c r="C35" s="17" t="s">
        <v>135</v>
      </c>
      <c r="D35" s="7" t="s">
        <v>1039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6">
        <v>34.0</v>
      </c>
      <c r="B36" s="17" t="s">
        <v>151</v>
      </c>
      <c r="C36" s="17" t="s">
        <v>135</v>
      </c>
      <c r="D36" s="7" t="s">
        <v>1050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6">
        <v>35.0</v>
      </c>
      <c r="B37" s="17" t="s">
        <v>154</v>
      </c>
      <c r="C37" s="17" t="s">
        <v>135</v>
      </c>
      <c r="D37" s="7" t="s">
        <v>1077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6">
        <v>36.0</v>
      </c>
      <c r="B38" s="17" t="s">
        <v>157</v>
      </c>
      <c r="C38" s="17" t="s">
        <v>135</v>
      </c>
      <c r="D38" s="7" t="s">
        <v>1104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6">
        <v>37.0</v>
      </c>
      <c r="B39" s="17" t="s">
        <v>12</v>
      </c>
      <c r="C39" s="17" t="s">
        <v>13</v>
      </c>
      <c r="D39" s="7" t="s">
        <v>1128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16">
        <v>38.0</v>
      </c>
      <c r="B40" s="17" t="s">
        <v>161</v>
      </c>
      <c r="C40" s="17" t="s">
        <v>13</v>
      </c>
      <c r="D40" s="7" t="s">
        <v>1148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6">
        <v>39.0</v>
      </c>
      <c r="B41" s="17" t="s">
        <v>71</v>
      </c>
      <c r="C41" s="17" t="s">
        <v>13</v>
      </c>
      <c r="D41" s="7" t="s">
        <v>1172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6">
        <v>40.0</v>
      </c>
      <c r="B42" s="17" t="s">
        <v>167</v>
      </c>
      <c r="C42" s="17" t="s">
        <v>13</v>
      </c>
      <c r="D42" s="7" t="s">
        <v>1198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6">
        <v>41.0</v>
      </c>
      <c r="B43" s="17" t="s">
        <v>169</v>
      </c>
      <c r="C43" s="17" t="s">
        <v>13</v>
      </c>
      <c r="D43" s="7" t="s">
        <v>1226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6">
        <v>42.0</v>
      </c>
      <c r="B44" s="17" t="s">
        <v>173</v>
      </c>
      <c r="C44" s="17" t="s">
        <v>13</v>
      </c>
      <c r="D44" s="7" t="s">
        <v>1249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16">
        <v>43.0</v>
      </c>
      <c r="B45" s="17" t="s">
        <v>176</v>
      </c>
      <c r="C45" s="17" t="s">
        <v>13</v>
      </c>
      <c r="D45" s="7" t="s">
        <v>339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6">
        <v>44.0</v>
      </c>
      <c r="B46" s="17" t="s">
        <v>179</v>
      </c>
      <c r="C46" s="17" t="s">
        <v>13</v>
      </c>
      <c r="D46" s="7" t="s">
        <v>1266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6">
        <v>45.0</v>
      </c>
      <c r="B47" s="17" t="s">
        <v>182</v>
      </c>
      <c r="C47" s="17" t="s">
        <v>13</v>
      </c>
      <c r="D47" s="7" t="s">
        <v>1276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6">
        <v>46.0</v>
      </c>
      <c r="B48" s="17" t="s">
        <v>186</v>
      </c>
      <c r="C48" s="17" t="s">
        <v>13</v>
      </c>
      <c r="D48" s="7" t="s">
        <v>1446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6">
        <v>47.0</v>
      </c>
      <c r="B49" s="17" t="s">
        <v>189</v>
      </c>
      <c r="C49" s="17" t="s">
        <v>13</v>
      </c>
      <c r="D49" s="7" t="s">
        <v>1469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16">
        <v>48.0</v>
      </c>
      <c r="B50" s="17" t="s">
        <v>192</v>
      </c>
      <c r="C50" s="17" t="s">
        <v>13</v>
      </c>
      <c r="D50" s="7" t="s">
        <v>1486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6">
        <v>49.0</v>
      </c>
      <c r="B51" s="17" t="s">
        <v>196</v>
      </c>
      <c r="C51" s="17" t="s">
        <v>13</v>
      </c>
      <c r="D51" s="7" t="s">
        <v>1504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6">
        <v>50.0</v>
      </c>
      <c r="B52" s="17" t="s">
        <v>198</v>
      </c>
      <c r="C52" s="17" t="s">
        <v>13</v>
      </c>
      <c r="D52" s="7" t="s">
        <v>1518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6">
        <v>51.0</v>
      </c>
      <c r="B53" s="17" t="s">
        <v>200</v>
      </c>
      <c r="C53" s="17" t="s">
        <v>13</v>
      </c>
      <c r="D53" s="7" t="s">
        <v>1531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16">
        <v>52.0</v>
      </c>
      <c r="B54" s="17" t="s">
        <v>205</v>
      </c>
      <c r="C54" s="17" t="s">
        <v>13</v>
      </c>
      <c r="D54" s="7" t="s">
        <v>1548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16">
        <v>53.0</v>
      </c>
      <c r="B55" s="17" t="s">
        <v>209</v>
      </c>
      <c r="C55" s="17" t="s">
        <v>13</v>
      </c>
      <c r="D55" s="7" t="s">
        <v>1578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16">
        <v>54.0</v>
      </c>
      <c r="B56" s="17" t="s">
        <v>211</v>
      </c>
      <c r="C56" s="17" t="s">
        <v>13</v>
      </c>
      <c r="D56" s="7" t="s">
        <v>1591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16">
        <v>55.0</v>
      </c>
      <c r="B57" s="17" t="s">
        <v>215</v>
      </c>
      <c r="C57" s="17" t="s">
        <v>13</v>
      </c>
      <c r="D57" s="7" t="s">
        <v>1607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16">
        <v>56.0</v>
      </c>
      <c r="B58" s="17" t="s">
        <v>218</v>
      </c>
      <c r="C58" s="17" t="s">
        <v>13</v>
      </c>
      <c r="D58" s="7" t="s">
        <v>1767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6">
        <v>57.0</v>
      </c>
      <c r="B59" s="17" t="s">
        <v>77</v>
      </c>
      <c r="C59" s="17" t="s">
        <v>13</v>
      </c>
      <c r="D59" s="7" t="s">
        <v>1786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6">
        <v>58.0</v>
      </c>
      <c r="B60" s="17" t="s">
        <v>223</v>
      </c>
      <c r="C60" s="17" t="s">
        <v>13</v>
      </c>
      <c r="D60" s="7" t="s">
        <v>1800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6">
        <v>59.0</v>
      </c>
      <c r="B61" s="17" t="s">
        <v>82</v>
      </c>
      <c r="C61" s="17" t="s">
        <v>13</v>
      </c>
      <c r="D61" s="7" t="s">
        <v>1817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6">
        <v>60.0</v>
      </c>
      <c r="B62" s="17" t="s">
        <v>194</v>
      </c>
      <c r="C62" s="17" t="s">
        <v>13</v>
      </c>
      <c r="D62" s="7" t="s">
        <v>1831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16">
        <v>61.0</v>
      </c>
      <c r="B63" s="17" t="s">
        <v>229</v>
      </c>
      <c r="C63" s="17" t="s">
        <v>231</v>
      </c>
      <c r="D63" s="7" t="s">
        <v>1844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6">
        <v>62.0</v>
      </c>
      <c r="B64" s="17" t="s">
        <v>234</v>
      </c>
      <c r="C64" s="17" t="s">
        <v>231</v>
      </c>
      <c r="D64" s="7" t="s">
        <v>1865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16">
        <v>63.0</v>
      </c>
      <c r="B65" s="17" t="s">
        <v>239</v>
      </c>
      <c r="C65" s="17" t="s">
        <v>231</v>
      </c>
      <c r="D65" s="7" t="s">
        <v>1881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16">
        <v>64.0</v>
      </c>
      <c r="B66" s="17" t="s">
        <v>242</v>
      </c>
      <c r="C66" s="17" t="s">
        <v>231</v>
      </c>
      <c r="D66" s="7" t="s">
        <v>1892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16">
        <v>65.0</v>
      </c>
      <c r="B67" s="17" t="s">
        <v>245</v>
      </c>
      <c r="C67" s="17" t="s">
        <v>246</v>
      </c>
      <c r="D67" s="7" t="s">
        <v>1903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16">
        <v>66.0</v>
      </c>
      <c r="B68" s="17" t="s">
        <v>250</v>
      </c>
      <c r="C68" s="17" t="s">
        <v>246</v>
      </c>
      <c r="D68" s="7" t="s">
        <v>1916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16">
        <v>67.0</v>
      </c>
      <c r="B69" s="17" t="s">
        <v>256</v>
      </c>
      <c r="C69" s="17" t="s">
        <v>246</v>
      </c>
      <c r="D69" s="7" t="s">
        <v>1929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16">
        <v>68.0</v>
      </c>
      <c r="B70" s="17" t="s">
        <v>259</v>
      </c>
      <c r="C70" s="17" t="s">
        <v>100</v>
      </c>
      <c r="D70" s="7" t="s">
        <v>1944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16">
        <v>69.0</v>
      </c>
      <c r="B71" s="17" t="s">
        <v>263</v>
      </c>
      <c r="C71" s="17" t="s">
        <v>100</v>
      </c>
      <c r="D71" s="7" t="s">
        <v>1957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16">
        <v>70.0</v>
      </c>
      <c r="B72" s="17" t="s">
        <v>267</v>
      </c>
      <c r="C72" s="17" t="s">
        <v>100</v>
      </c>
      <c r="D72" s="7" t="s">
        <v>1970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16">
        <v>71.0</v>
      </c>
      <c r="B73" s="17" t="s">
        <v>270</v>
      </c>
      <c r="C73" s="17" t="s">
        <v>100</v>
      </c>
      <c r="D73" s="7" t="s">
        <v>1985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16">
        <v>72.0</v>
      </c>
      <c r="B74" s="17" t="s">
        <v>275</v>
      </c>
      <c r="C74" s="17" t="s">
        <v>100</v>
      </c>
      <c r="D74" s="7" t="s">
        <v>1999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16">
        <v>73.0</v>
      </c>
      <c r="B75" s="17" t="s">
        <v>281</v>
      </c>
      <c r="C75" s="17" t="s">
        <v>283</v>
      </c>
      <c r="D75" s="7" t="s">
        <v>2018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16">
        <v>74.0</v>
      </c>
      <c r="B76" s="17" t="s">
        <v>285</v>
      </c>
      <c r="C76" s="17" t="s">
        <v>283</v>
      </c>
      <c r="D76" s="7" t="s">
        <v>2030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16">
        <v>75.0</v>
      </c>
      <c r="B77" s="17" t="s">
        <v>291</v>
      </c>
      <c r="C77" s="17" t="s">
        <v>283</v>
      </c>
      <c r="D77" s="7" t="s">
        <v>2040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16">
        <v>76.0</v>
      </c>
      <c r="B78" s="17" t="s">
        <v>295</v>
      </c>
      <c r="C78" s="17" t="s">
        <v>283</v>
      </c>
      <c r="D78" s="7" t="s">
        <v>2054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16">
        <v>77.0</v>
      </c>
      <c r="B79" s="17" t="s">
        <v>298</v>
      </c>
      <c r="C79" s="17" t="s">
        <v>283</v>
      </c>
      <c r="D79" s="7" t="s">
        <v>2064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16">
        <v>78.0</v>
      </c>
      <c r="B80" s="17" t="s">
        <v>305</v>
      </c>
      <c r="C80" s="17" t="s">
        <v>45</v>
      </c>
      <c r="D80" s="7" t="s">
        <v>2075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16">
        <v>79.0</v>
      </c>
      <c r="B81" s="17" t="s">
        <v>309</v>
      </c>
      <c r="C81" s="17" t="s">
        <v>45</v>
      </c>
      <c r="D81" s="7" t="s">
        <v>2087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16">
        <v>80.0</v>
      </c>
      <c r="B82" s="17" t="s">
        <v>312</v>
      </c>
      <c r="C82" s="17" t="s">
        <v>45</v>
      </c>
      <c r="D82" s="7" t="s">
        <v>2098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16">
        <v>81.0</v>
      </c>
      <c r="B83" s="17" t="s">
        <v>319</v>
      </c>
      <c r="C83" s="17" t="s">
        <v>320</v>
      </c>
      <c r="D83" s="7" t="s">
        <v>2109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16">
        <v>82.0</v>
      </c>
      <c r="B84" s="17" t="s">
        <v>323</v>
      </c>
      <c r="C84" s="17" t="s">
        <v>320</v>
      </c>
      <c r="D84" s="7" t="s">
        <v>2120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16">
        <v>83.0</v>
      </c>
      <c r="B85" s="17" t="s">
        <v>327</v>
      </c>
      <c r="C85" s="17" t="s">
        <v>320</v>
      </c>
      <c r="D85" s="7" t="s">
        <v>2130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16">
        <v>84.0</v>
      </c>
      <c r="B86" s="17" t="s">
        <v>332</v>
      </c>
      <c r="C86" s="17" t="s">
        <v>320</v>
      </c>
      <c r="D86" s="7" t="s">
        <v>2148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6">
        <v>85.0</v>
      </c>
      <c r="B87" s="17" t="s">
        <v>335</v>
      </c>
      <c r="C87" s="17" t="s">
        <v>320</v>
      </c>
      <c r="D87" s="7" t="s">
        <v>2285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6">
        <v>86.0</v>
      </c>
      <c r="B88" s="17" t="s">
        <v>341</v>
      </c>
      <c r="C88" s="17" t="s">
        <v>342</v>
      </c>
      <c r="D88" s="7" t="s">
        <v>2311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6">
        <v>87.0</v>
      </c>
      <c r="B89" s="17" t="s">
        <v>347</v>
      </c>
      <c r="C89" s="17" t="s">
        <v>342</v>
      </c>
      <c r="D89" s="7" t="s">
        <v>2315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6">
        <v>88.0</v>
      </c>
      <c r="B90" s="17" t="s">
        <v>351</v>
      </c>
      <c r="C90" s="17" t="s">
        <v>342</v>
      </c>
      <c r="D90" s="7" t="s">
        <v>2324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6">
        <v>89.0</v>
      </c>
      <c r="B91" s="17" t="s">
        <v>356</v>
      </c>
      <c r="C91" s="17" t="s">
        <v>342</v>
      </c>
      <c r="D91" s="7" t="s">
        <v>2334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6">
        <v>90.0</v>
      </c>
      <c r="B92" s="17" t="s">
        <v>362</v>
      </c>
      <c r="C92" s="17" t="s">
        <v>342</v>
      </c>
      <c r="D92" s="7" t="s">
        <v>2346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6">
        <v>91.0</v>
      </c>
      <c r="B93" s="17" t="s">
        <v>23</v>
      </c>
      <c r="C93" s="17" t="s">
        <v>24</v>
      </c>
      <c r="D93" s="7" t="s">
        <v>2355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6">
        <v>92.0</v>
      </c>
      <c r="B94" s="17" t="s">
        <v>370</v>
      </c>
      <c r="C94" s="17" t="s">
        <v>24</v>
      </c>
      <c r="D94" s="7" t="s">
        <v>2438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6">
        <v>93.0</v>
      </c>
      <c r="B95" s="17" t="s">
        <v>372</v>
      </c>
      <c r="C95" s="17" t="s">
        <v>24</v>
      </c>
      <c r="D95" s="7" t="s">
        <v>2450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6">
        <v>94.0</v>
      </c>
      <c r="B96" s="17" t="s">
        <v>379</v>
      </c>
      <c r="C96" s="17" t="s">
        <v>24</v>
      </c>
      <c r="D96" s="7" t="s">
        <v>2464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6">
        <v>95.0</v>
      </c>
      <c r="B97" s="17" t="s">
        <v>89</v>
      </c>
      <c r="C97" s="17" t="s">
        <v>24</v>
      </c>
      <c r="D97" s="7" t="s">
        <v>2478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6">
        <v>96.0</v>
      </c>
      <c r="B98" s="17" t="s">
        <v>385</v>
      </c>
      <c r="C98" s="17" t="s">
        <v>24</v>
      </c>
      <c r="D98" s="7" t="s">
        <v>2487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6">
        <v>97.0</v>
      </c>
      <c r="B99" s="17" t="s">
        <v>391</v>
      </c>
      <c r="C99" s="17" t="s">
        <v>24</v>
      </c>
      <c r="D99" s="7" t="s">
        <v>2498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6">
        <v>98.0</v>
      </c>
      <c r="B100" s="17" t="s">
        <v>395</v>
      </c>
      <c r="C100" s="17" t="s">
        <v>24</v>
      </c>
      <c r="D100" s="7" t="s">
        <v>2508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6">
        <v>99.0</v>
      </c>
      <c r="B101" s="17" t="s">
        <v>399</v>
      </c>
      <c r="C101" s="17" t="s">
        <v>24</v>
      </c>
      <c r="D101" s="7" t="s">
        <v>2516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6">
        <v>100.0</v>
      </c>
      <c r="B102" s="17" t="s">
        <v>402</v>
      </c>
      <c r="C102" s="17" t="s">
        <v>24</v>
      </c>
      <c r="D102" s="7" t="s">
        <v>2535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6">
        <v>101.0</v>
      </c>
      <c r="B103" s="17" t="s">
        <v>202</v>
      </c>
      <c r="C103" s="17" t="s">
        <v>203</v>
      </c>
      <c r="D103" s="7" t="s">
        <v>2541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6">
        <v>102.0</v>
      </c>
      <c r="B104" s="17" t="s">
        <v>409</v>
      </c>
      <c r="C104" s="17" t="s">
        <v>203</v>
      </c>
      <c r="D104" s="7" t="s">
        <v>2710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6">
        <v>103.0</v>
      </c>
      <c r="B105" s="17" t="s">
        <v>414</v>
      </c>
      <c r="C105" s="17" t="s">
        <v>203</v>
      </c>
      <c r="D105" s="7" t="s">
        <v>2725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6">
        <v>104.0</v>
      </c>
      <c r="B106" s="17" t="s">
        <v>208</v>
      </c>
      <c r="C106" s="17" t="s">
        <v>203</v>
      </c>
      <c r="D106" s="7" t="s">
        <v>2736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6">
        <v>105.0</v>
      </c>
      <c r="B107" s="17" t="s">
        <v>420</v>
      </c>
      <c r="C107" s="17" t="s">
        <v>238</v>
      </c>
      <c r="D107" s="7" t="s">
        <v>2746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6">
        <v>106.0</v>
      </c>
      <c r="B108" s="17" t="s">
        <v>423</v>
      </c>
      <c r="C108" s="17" t="s">
        <v>238</v>
      </c>
      <c r="D108" s="7" t="s">
        <v>2754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6">
        <v>107.0</v>
      </c>
      <c r="B109" s="17" t="s">
        <v>428</v>
      </c>
      <c r="C109" s="17" t="s">
        <v>238</v>
      </c>
      <c r="D109" s="7" t="s">
        <v>2769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6">
        <v>108.0</v>
      </c>
      <c r="B110" s="17" t="s">
        <v>430</v>
      </c>
      <c r="C110" s="17" t="s">
        <v>238</v>
      </c>
      <c r="D110" s="7" t="s">
        <v>2776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6">
        <v>109.0</v>
      </c>
      <c r="B111" s="17" t="s">
        <v>434</v>
      </c>
      <c r="C111" s="17" t="s">
        <v>238</v>
      </c>
      <c r="D111" s="7" t="s">
        <v>2788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6">
        <v>110.0</v>
      </c>
      <c r="B112" s="17" t="s">
        <v>438</v>
      </c>
      <c r="C112" s="17" t="s">
        <v>238</v>
      </c>
      <c r="D112" s="7" t="s">
        <v>2800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16">
        <v>111.0</v>
      </c>
      <c r="B113" s="17" t="s">
        <v>444</v>
      </c>
      <c r="C113" s="17" t="s">
        <v>238</v>
      </c>
      <c r="D113" s="7" t="s">
        <v>2807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16">
        <v>112.0</v>
      </c>
      <c r="B114" s="17" t="s">
        <v>449</v>
      </c>
      <c r="C114" s="17" t="s">
        <v>238</v>
      </c>
      <c r="D114" s="7" t="s">
        <v>2812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16">
        <v>113.0</v>
      </c>
      <c r="B115" s="17" t="s">
        <v>452</v>
      </c>
      <c r="C115" s="17" t="s">
        <v>238</v>
      </c>
      <c r="D115" s="7" t="s">
        <v>2816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16">
        <v>114.0</v>
      </c>
      <c r="B116" s="17" t="s">
        <v>456</v>
      </c>
      <c r="C116" s="17" t="s">
        <v>238</v>
      </c>
      <c r="D116" s="7" t="s">
        <v>2822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16">
        <v>115.0</v>
      </c>
      <c r="B117" s="17" t="s">
        <v>459</v>
      </c>
      <c r="C117" s="17" t="s">
        <v>460</v>
      </c>
      <c r="D117" s="7" t="s">
        <v>2826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16">
        <v>116.0</v>
      </c>
      <c r="B118" s="17" t="s">
        <v>464</v>
      </c>
      <c r="C118" s="17" t="s">
        <v>460</v>
      </c>
      <c r="D118" s="7" t="s">
        <v>2831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16">
        <v>117.0</v>
      </c>
      <c r="B119" s="17" t="s">
        <v>468</v>
      </c>
      <c r="C119" s="17" t="s">
        <v>460</v>
      </c>
      <c r="D119" s="7" t="s">
        <v>2836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16">
        <v>118.0</v>
      </c>
      <c r="B120" s="17" t="s">
        <v>473</v>
      </c>
      <c r="C120" s="17" t="s">
        <v>475</v>
      </c>
      <c r="D120" s="7" t="s">
        <v>2839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16">
        <v>119.0</v>
      </c>
      <c r="B121" s="17" t="s">
        <v>479</v>
      </c>
      <c r="C121" s="17" t="s">
        <v>475</v>
      </c>
      <c r="D121" s="7" t="s">
        <v>2843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16">
        <v>120.0</v>
      </c>
      <c r="B122" s="17" t="s">
        <v>483</v>
      </c>
      <c r="C122" s="17" t="s">
        <v>475</v>
      </c>
      <c r="D122" s="7" t="s">
        <v>2849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16">
        <v>121.0</v>
      </c>
      <c r="B123" s="17" t="s">
        <v>487</v>
      </c>
      <c r="C123" s="17" t="s">
        <v>475</v>
      </c>
      <c r="D123" s="7" t="s">
        <v>2856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16">
        <v>122.0</v>
      </c>
      <c r="B124" s="17" t="s">
        <v>491</v>
      </c>
      <c r="C124" s="17" t="s">
        <v>475</v>
      </c>
      <c r="D124" s="7" t="s">
        <v>2863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16">
        <v>123.0</v>
      </c>
      <c r="B125" s="17" t="s">
        <v>497</v>
      </c>
      <c r="C125" s="17" t="s">
        <v>475</v>
      </c>
      <c r="D125" s="7" t="s">
        <v>2870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16">
        <v>124.0</v>
      </c>
      <c r="B126" s="17" t="s">
        <v>501</v>
      </c>
      <c r="C126" s="17" t="s">
        <v>475</v>
      </c>
      <c r="D126" s="7" t="s">
        <v>2879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16">
        <v>125.0</v>
      </c>
      <c r="B127" s="17" t="s">
        <v>506</v>
      </c>
      <c r="C127" s="17" t="s">
        <v>508</v>
      </c>
      <c r="D127" s="7" t="s">
        <v>2885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16">
        <v>126.0</v>
      </c>
      <c r="B128" s="17" t="s">
        <v>511</v>
      </c>
      <c r="C128" s="17" t="s">
        <v>508</v>
      </c>
      <c r="D128" s="7" t="s">
        <v>2891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16">
        <v>127.0</v>
      </c>
      <c r="B129" s="17" t="s">
        <v>514</v>
      </c>
      <c r="C129" s="17" t="s">
        <v>508</v>
      </c>
      <c r="D129" s="7" t="s">
        <v>2898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16">
        <v>128.0</v>
      </c>
      <c r="B130" s="17" t="s">
        <v>518</v>
      </c>
      <c r="C130" s="17" t="s">
        <v>508</v>
      </c>
      <c r="D130" s="7" t="s">
        <v>2904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16">
        <v>129.0</v>
      </c>
      <c r="B131" s="17" t="s">
        <v>522</v>
      </c>
      <c r="C131" s="17" t="s">
        <v>524</v>
      </c>
      <c r="D131" s="7" t="s">
        <v>2910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16">
        <v>130.0</v>
      </c>
      <c r="B132" s="17" t="s">
        <v>526</v>
      </c>
      <c r="C132" s="17" t="s">
        <v>524</v>
      </c>
      <c r="D132" s="7" t="s">
        <v>2916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16">
        <v>131.0</v>
      </c>
      <c r="B133" s="17" t="s">
        <v>529</v>
      </c>
      <c r="C133" s="17" t="s">
        <v>524</v>
      </c>
      <c r="D133" s="7" t="s">
        <v>2923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16">
        <v>132.0</v>
      </c>
      <c r="B134" s="17" t="s">
        <v>534</v>
      </c>
      <c r="C134" s="17" t="s">
        <v>524</v>
      </c>
      <c r="D134" s="7" t="s">
        <v>2957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16">
        <v>133.0</v>
      </c>
      <c r="B135" s="17" t="s">
        <v>535</v>
      </c>
      <c r="C135" s="17" t="s">
        <v>536</v>
      </c>
      <c r="D135" s="7" t="s">
        <v>339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16">
        <v>134.0</v>
      </c>
      <c r="B136" s="17" t="s">
        <v>541</v>
      </c>
      <c r="C136" s="17" t="s">
        <v>536</v>
      </c>
      <c r="D136" s="7" t="s">
        <v>2958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16">
        <v>135.0</v>
      </c>
      <c r="B137" s="17" t="s">
        <v>545</v>
      </c>
      <c r="C137" s="17" t="s">
        <v>536</v>
      </c>
      <c r="D137" s="7" t="s">
        <v>2959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16">
        <v>136.0</v>
      </c>
      <c r="B138" s="17" t="s">
        <v>547</v>
      </c>
      <c r="C138" s="17" t="s">
        <v>536</v>
      </c>
      <c r="D138" s="7" t="s">
        <v>2960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16">
        <v>137.0</v>
      </c>
      <c r="B139" s="17" t="s">
        <v>552</v>
      </c>
      <c r="C139" s="17" t="s">
        <v>550</v>
      </c>
      <c r="D139" s="7" t="s">
        <v>2961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16">
        <v>138.0</v>
      </c>
      <c r="B140" s="17" t="s">
        <v>558</v>
      </c>
      <c r="C140" s="17" t="s">
        <v>550</v>
      </c>
      <c r="D140" s="7" t="s">
        <v>2962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16">
        <v>139.0</v>
      </c>
      <c r="B141" s="17" t="s">
        <v>565</v>
      </c>
      <c r="C141" s="17" t="s">
        <v>550</v>
      </c>
      <c r="D141" s="7" t="s">
        <v>2963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16">
        <v>140.0</v>
      </c>
      <c r="B142" s="17" t="s">
        <v>570</v>
      </c>
      <c r="C142" s="17" t="s">
        <v>550</v>
      </c>
      <c r="D142" s="7" t="s">
        <v>2964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16">
        <v>141.0</v>
      </c>
      <c r="B143" s="17" t="s">
        <v>576</v>
      </c>
      <c r="C143" s="17" t="s">
        <v>550</v>
      </c>
      <c r="D143" s="7" t="s">
        <v>2967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16">
        <v>142.0</v>
      </c>
      <c r="B144" s="17" t="s">
        <v>583</v>
      </c>
      <c r="C144" s="17" t="s">
        <v>585</v>
      </c>
      <c r="D144" s="7" t="s">
        <v>2968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16">
        <v>143.0</v>
      </c>
      <c r="B145" s="17" t="s">
        <v>591</v>
      </c>
      <c r="C145" s="17" t="s">
        <v>585</v>
      </c>
      <c r="D145" s="7" t="s">
        <v>2969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16">
        <v>144.0</v>
      </c>
      <c r="B146" s="17" t="s">
        <v>596</v>
      </c>
      <c r="C146" s="17" t="s">
        <v>619</v>
      </c>
      <c r="D146" s="7" t="s">
        <v>2970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16">
        <v>145.0</v>
      </c>
      <c r="B147" s="17" t="s">
        <v>625</v>
      </c>
      <c r="C147" s="17" t="s">
        <v>619</v>
      </c>
      <c r="D147" s="7" t="s">
        <v>2971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16">
        <v>146.0</v>
      </c>
      <c r="B148" s="17" t="s">
        <v>631</v>
      </c>
      <c r="C148" s="17" t="s">
        <v>619</v>
      </c>
      <c r="D148" s="7" t="s">
        <v>2972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16">
        <v>147.0</v>
      </c>
      <c r="B149" s="17" t="s">
        <v>637</v>
      </c>
      <c r="C149" s="17" t="s">
        <v>619</v>
      </c>
      <c r="D149" s="7" t="s">
        <v>2973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16">
        <v>148.0</v>
      </c>
      <c r="B150" s="17" t="s">
        <v>644</v>
      </c>
      <c r="C150" s="17" t="s">
        <v>619</v>
      </c>
      <c r="D150" s="7" t="s">
        <v>2974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16">
        <v>149.0</v>
      </c>
      <c r="B151" s="17" t="s">
        <v>647</v>
      </c>
      <c r="C151" s="17" t="s">
        <v>650</v>
      </c>
      <c r="D151" s="7" t="s">
        <v>2975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16">
        <v>150.0</v>
      </c>
      <c r="B152" s="17" t="s">
        <v>655</v>
      </c>
      <c r="C152" s="17" t="s">
        <v>650</v>
      </c>
      <c r="D152" s="7" t="s">
        <v>2976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16">
        <v>151.0</v>
      </c>
      <c r="B153" s="17" t="s">
        <v>662</v>
      </c>
      <c r="C153" s="17" t="s">
        <v>650</v>
      </c>
      <c r="D153" s="7" t="s">
        <v>2977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16">
        <v>152.0</v>
      </c>
      <c r="B154" s="17" t="s">
        <v>668</v>
      </c>
      <c r="C154" s="17" t="s">
        <v>650</v>
      </c>
      <c r="D154" s="7" t="s">
        <v>2978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16">
        <v>153.0</v>
      </c>
      <c r="B155" s="17" t="s">
        <v>672</v>
      </c>
      <c r="C155" s="17" t="s">
        <v>642</v>
      </c>
      <c r="D155" s="7" t="s">
        <v>2979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16">
        <v>154.0</v>
      </c>
      <c r="B156" s="17" t="s">
        <v>680</v>
      </c>
      <c r="C156" s="17" t="s">
        <v>642</v>
      </c>
      <c r="D156" s="7" t="s">
        <v>2980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16">
        <v>155.0</v>
      </c>
      <c r="B157" s="17" t="s">
        <v>687</v>
      </c>
      <c r="C157" s="17" t="s">
        <v>642</v>
      </c>
      <c r="D157" s="7" t="s">
        <v>2981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16">
        <v>156.0</v>
      </c>
      <c r="B158" s="17" t="s">
        <v>691</v>
      </c>
      <c r="C158" s="17" t="s">
        <v>652</v>
      </c>
      <c r="D158" s="7" t="s">
        <v>2982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16">
        <v>157.0</v>
      </c>
      <c r="B159" s="17" t="s">
        <v>698</v>
      </c>
      <c r="C159" s="17" t="s">
        <v>652</v>
      </c>
      <c r="D159" s="7" t="s">
        <v>2983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16">
        <v>158.0</v>
      </c>
      <c r="B160" s="17" t="s">
        <v>705</v>
      </c>
      <c r="C160" s="17" t="s">
        <v>652</v>
      </c>
      <c r="D160" s="7" t="s">
        <v>2984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16">
        <v>159.0</v>
      </c>
      <c r="B161" s="17" t="s">
        <v>713</v>
      </c>
      <c r="C161" s="17" t="s">
        <v>652</v>
      </c>
      <c r="D161" s="7" t="s">
        <v>2985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16">
        <v>160.0</v>
      </c>
      <c r="B162" s="17" t="s">
        <v>721</v>
      </c>
      <c r="C162" s="17" t="s">
        <v>652</v>
      </c>
      <c r="D162" s="7" t="s">
        <v>2986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16">
        <v>161.0</v>
      </c>
      <c r="B163" s="17" t="s">
        <v>728</v>
      </c>
      <c r="C163" s="17" t="s">
        <v>663</v>
      </c>
      <c r="D163" s="7" t="s">
        <v>2987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16">
        <v>162.0</v>
      </c>
      <c r="B164" s="17" t="s">
        <v>734</v>
      </c>
      <c r="C164" s="17" t="s">
        <v>663</v>
      </c>
      <c r="D164" s="7" t="s">
        <v>2988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6">
        <v>163.0</v>
      </c>
      <c r="B165" s="17" t="s">
        <v>741</v>
      </c>
      <c r="C165" s="17" t="s">
        <v>663</v>
      </c>
      <c r="D165" s="7" t="s">
        <v>2989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6">
        <v>164.0</v>
      </c>
      <c r="B166" s="17" t="s">
        <v>745</v>
      </c>
      <c r="C166" s="17" t="s">
        <v>663</v>
      </c>
      <c r="D166" s="7" t="s">
        <v>2990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6">
        <v>165.0</v>
      </c>
      <c r="B167" s="17" t="s">
        <v>751</v>
      </c>
      <c r="C167" s="17" t="s">
        <v>754</v>
      </c>
      <c r="D167" s="7" t="s">
        <v>2992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6">
        <v>166.0</v>
      </c>
      <c r="B168" s="17" t="s">
        <v>760</v>
      </c>
      <c r="C168" s="17" t="s">
        <v>754</v>
      </c>
      <c r="D168" s="7" t="s">
        <v>2993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6">
        <v>167.0</v>
      </c>
      <c r="B169" s="17" t="s">
        <v>768</v>
      </c>
      <c r="C169" s="17" t="s">
        <v>754</v>
      </c>
      <c r="D169" s="7" t="s">
        <v>2994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6">
        <v>168.0</v>
      </c>
      <c r="B170" s="17" t="s">
        <v>770</v>
      </c>
      <c r="C170" s="17" t="s">
        <v>754</v>
      </c>
      <c r="D170" s="7" t="s">
        <v>2995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6">
        <v>169.0</v>
      </c>
      <c r="B171" s="17" t="s">
        <v>772</v>
      </c>
      <c r="C171" s="17" t="s">
        <v>774</v>
      </c>
      <c r="D171" s="7" t="s">
        <v>2996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6">
        <v>170.0</v>
      </c>
      <c r="B172" s="17" t="s">
        <v>776</v>
      </c>
      <c r="C172" s="17" t="s">
        <v>774</v>
      </c>
      <c r="D172" s="7" t="s">
        <v>2997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6">
        <v>171.0</v>
      </c>
      <c r="B173" s="17" t="s">
        <v>778</v>
      </c>
      <c r="C173" s="17" t="s">
        <v>774</v>
      </c>
      <c r="D173" s="7" t="s">
        <v>2998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6">
        <v>172.0</v>
      </c>
      <c r="B174" s="17" t="s">
        <v>783</v>
      </c>
      <c r="C174" s="17" t="s">
        <v>774</v>
      </c>
      <c r="D174" s="7" t="s">
        <v>2999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6">
        <v>173.0</v>
      </c>
      <c r="B175" s="17" t="s">
        <v>787</v>
      </c>
      <c r="C175" s="17" t="s">
        <v>474</v>
      </c>
      <c r="D175" s="7" t="s">
        <v>3000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6">
        <v>174.0</v>
      </c>
      <c r="B176" s="17" t="s">
        <v>790</v>
      </c>
      <c r="C176" s="17" t="s">
        <v>474</v>
      </c>
      <c r="D176" s="7" t="s">
        <v>3001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6">
        <v>175.0</v>
      </c>
      <c r="B177" s="17" t="s">
        <v>612</v>
      </c>
      <c r="C177" s="17" t="s">
        <v>474</v>
      </c>
      <c r="D177" s="7" t="s">
        <v>3002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16">
        <v>176.0</v>
      </c>
      <c r="B178" s="17" t="s">
        <v>801</v>
      </c>
      <c r="C178" s="17" t="s">
        <v>679</v>
      </c>
      <c r="D178" s="7" t="s">
        <v>3003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6">
        <v>177.0</v>
      </c>
      <c r="B179" s="17" t="s">
        <v>805</v>
      </c>
      <c r="C179" s="17" t="s">
        <v>679</v>
      </c>
      <c r="D179" s="7" t="s">
        <v>3004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16">
        <v>178.0</v>
      </c>
      <c r="B180" s="17" t="s">
        <v>811</v>
      </c>
      <c r="C180" s="17" t="s">
        <v>679</v>
      </c>
      <c r="D180" s="7" t="s">
        <v>3005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6">
        <v>179.0</v>
      </c>
      <c r="B181" s="17" t="s">
        <v>818</v>
      </c>
      <c r="C181" s="17" t="s">
        <v>679</v>
      </c>
      <c r="D181" s="7" t="s">
        <v>3006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16">
        <v>180.0</v>
      </c>
      <c r="B182" s="17" t="s">
        <v>822</v>
      </c>
      <c r="C182" s="17" t="s">
        <v>509</v>
      </c>
      <c r="D182" s="7" t="s">
        <v>3007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6">
        <v>181.0</v>
      </c>
      <c r="B183" s="17" t="s">
        <v>828</v>
      </c>
      <c r="C183" s="17" t="s">
        <v>509</v>
      </c>
      <c r="D183" s="7" t="s">
        <v>3008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16">
        <v>182.0</v>
      </c>
      <c r="B184" s="17" t="s">
        <v>835</v>
      </c>
      <c r="C184" s="17" t="s">
        <v>509</v>
      </c>
      <c r="D184" s="7" t="s">
        <v>3009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6">
        <v>183.0</v>
      </c>
      <c r="B185" s="17" t="s">
        <v>841</v>
      </c>
      <c r="C185" s="17" t="s">
        <v>448</v>
      </c>
      <c r="D185" s="7" t="s">
        <v>3010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16">
        <v>184.0</v>
      </c>
      <c r="B186" s="17" t="s">
        <v>848</v>
      </c>
      <c r="C186" s="17" t="s">
        <v>448</v>
      </c>
      <c r="D186" s="7" t="s">
        <v>3011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6">
        <v>185.0</v>
      </c>
      <c r="B187" s="17" t="s">
        <v>855</v>
      </c>
      <c r="C187" s="17" t="s">
        <v>448</v>
      </c>
      <c r="D187" s="7" t="s">
        <v>3012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16">
        <v>186.0</v>
      </c>
      <c r="B188" s="17" t="s">
        <v>862</v>
      </c>
      <c r="C188" s="17" t="s">
        <v>864</v>
      </c>
      <c r="D188" s="7" t="s">
        <v>3013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6">
        <v>187.0</v>
      </c>
      <c r="B189" s="17" t="s">
        <v>867</v>
      </c>
      <c r="C189" s="17" t="s">
        <v>864</v>
      </c>
      <c r="D189" s="7" t="s">
        <v>3014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16">
        <v>188.0</v>
      </c>
      <c r="B190" s="17" t="s">
        <v>872</v>
      </c>
      <c r="C190" s="17" t="s">
        <v>864</v>
      </c>
      <c r="D190" s="7" t="s">
        <v>3015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6">
        <v>189.0</v>
      </c>
      <c r="B191" s="17" t="s">
        <v>877</v>
      </c>
      <c r="C191" s="17" t="s">
        <v>864</v>
      </c>
      <c r="D191" s="7" t="s">
        <v>3016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16">
        <v>190.0</v>
      </c>
      <c r="B192" s="17" t="s">
        <v>881</v>
      </c>
      <c r="C192" s="17" t="s">
        <v>883</v>
      </c>
      <c r="D192" s="7" t="s">
        <v>3017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6">
        <v>191.0</v>
      </c>
      <c r="B193" s="17" t="s">
        <v>887</v>
      </c>
      <c r="C193" s="17" t="s">
        <v>883</v>
      </c>
      <c r="D193" s="7" t="s">
        <v>3018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16">
        <v>192.0</v>
      </c>
      <c r="B194" s="17" t="s">
        <v>890</v>
      </c>
      <c r="C194" s="17" t="s">
        <v>883</v>
      </c>
      <c r="D194" s="7" t="s">
        <v>3019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6">
        <v>193.0</v>
      </c>
      <c r="B195" s="17" t="s">
        <v>895</v>
      </c>
      <c r="C195" s="17" t="s">
        <v>883</v>
      </c>
      <c r="D195" s="7" t="s">
        <v>3020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16">
        <v>194.0</v>
      </c>
      <c r="B196" s="17" t="s">
        <v>898</v>
      </c>
      <c r="C196" s="17" t="s">
        <v>735</v>
      </c>
      <c r="D196" s="7" t="s">
        <v>3021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6">
        <v>195.0</v>
      </c>
      <c r="B197" s="17" t="s">
        <v>903</v>
      </c>
      <c r="C197" s="17" t="s">
        <v>735</v>
      </c>
      <c r="D197" s="7" t="s">
        <v>3022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16">
        <v>196.0</v>
      </c>
      <c r="B198" s="17" t="s">
        <v>907</v>
      </c>
      <c r="C198" s="17" t="s">
        <v>909</v>
      </c>
      <c r="D198" s="7" t="s">
        <v>3023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6">
        <v>197.0</v>
      </c>
      <c r="B199" s="17" t="s">
        <v>913</v>
      </c>
      <c r="C199" s="17" t="s">
        <v>909</v>
      </c>
      <c r="D199" s="7" t="s">
        <v>3024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16">
        <v>198.0</v>
      </c>
      <c r="B200" s="17" t="s">
        <v>916</v>
      </c>
      <c r="C200" s="17" t="s">
        <v>909</v>
      </c>
      <c r="D200" s="7" t="s">
        <v>3025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6">
        <v>199.0</v>
      </c>
      <c r="B201" s="17" t="s">
        <v>921</v>
      </c>
      <c r="C201" s="17" t="s">
        <v>909</v>
      </c>
      <c r="D201" s="7" t="s">
        <v>3026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16">
        <v>200.0</v>
      </c>
      <c r="B202" s="17" t="s">
        <v>925</v>
      </c>
      <c r="C202" s="17" t="s">
        <v>909</v>
      </c>
      <c r="D202" s="7" t="s">
        <v>3027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6">
        <v>201.0</v>
      </c>
      <c r="B203" s="17" t="s">
        <v>929</v>
      </c>
      <c r="C203" s="17" t="s">
        <v>695</v>
      </c>
      <c r="D203" s="7" t="s">
        <v>3028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16">
        <v>202.0</v>
      </c>
      <c r="B204" s="17" t="s">
        <v>932</v>
      </c>
      <c r="C204" s="17" t="s">
        <v>695</v>
      </c>
      <c r="D204" s="7" t="s">
        <v>3029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6">
        <v>203.0</v>
      </c>
      <c r="B205" s="17" t="s">
        <v>936</v>
      </c>
      <c r="C205" s="17" t="s">
        <v>695</v>
      </c>
      <c r="D205" s="7" t="s">
        <v>3030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16">
        <v>204.0</v>
      </c>
      <c r="B206" s="17" t="s">
        <v>940</v>
      </c>
      <c r="C206" s="17" t="s">
        <v>758</v>
      </c>
      <c r="D206" s="7" t="s">
        <v>3031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6">
        <v>205.0</v>
      </c>
      <c r="B207" s="17" t="s">
        <v>800</v>
      </c>
      <c r="C207" s="17" t="s">
        <v>758</v>
      </c>
      <c r="D207" s="7" t="s">
        <v>3032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16">
        <v>206.0</v>
      </c>
      <c r="B208" s="17" t="s">
        <v>947</v>
      </c>
      <c r="C208" s="17" t="s">
        <v>948</v>
      </c>
      <c r="D208" s="7" t="s">
        <v>3033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6">
        <v>207.0</v>
      </c>
      <c r="B209" s="17" t="s">
        <v>953</v>
      </c>
      <c r="C209" s="17" t="s">
        <v>948</v>
      </c>
      <c r="D209" s="7" t="s">
        <v>3034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16">
        <v>208.0</v>
      </c>
      <c r="B210" s="17" t="s">
        <v>962</v>
      </c>
      <c r="C210" s="17" t="s">
        <v>948</v>
      </c>
      <c r="D210" s="7" t="s">
        <v>3035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6">
        <v>209.0</v>
      </c>
      <c r="B211" s="17" t="s">
        <v>967</v>
      </c>
      <c r="C211" s="17" t="s">
        <v>948</v>
      </c>
      <c r="D211" s="7" t="s">
        <v>3036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16">
        <v>210.0</v>
      </c>
      <c r="B212" s="17" t="s">
        <v>971</v>
      </c>
      <c r="C212" s="17" t="s">
        <v>703</v>
      </c>
      <c r="D212" s="7" t="s">
        <v>3037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6">
        <v>211.0</v>
      </c>
      <c r="B213" s="17" t="s">
        <v>977</v>
      </c>
      <c r="C213" s="17" t="s">
        <v>703</v>
      </c>
      <c r="D213" s="7" t="s">
        <v>3038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16">
        <v>212.0</v>
      </c>
      <c r="B214" s="17" t="s">
        <v>986</v>
      </c>
      <c r="C214" s="17" t="s">
        <v>703</v>
      </c>
      <c r="D214" s="7" t="s">
        <v>3039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6">
        <v>213.0</v>
      </c>
      <c r="B215" s="17" t="s">
        <v>990</v>
      </c>
      <c r="C215" s="17" t="s">
        <v>703</v>
      </c>
      <c r="D215" s="7" t="s">
        <v>3040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16">
        <v>214.0</v>
      </c>
      <c r="B216" s="17" t="s">
        <v>994</v>
      </c>
      <c r="C216" s="17" t="s">
        <v>703</v>
      </c>
      <c r="D216" s="7" t="s">
        <v>3041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6">
        <v>215.0</v>
      </c>
      <c r="B217" s="17" t="s">
        <v>999</v>
      </c>
      <c r="C217" s="17" t="s">
        <v>716</v>
      </c>
      <c r="D217" s="7" t="s">
        <v>3042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16">
        <v>216.0</v>
      </c>
      <c r="B218" s="17" t="s">
        <v>1002</v>
      </c>
      <c r="C218" s="17" t="s">
        <v>716</v>
      </c>
      <c r="D218" s="7" t="s">
        <v>3043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6">
        <v>217.0</v>
      </c>
      <c r="B219" s="17" t="s">
        <v>1008</v>
      </c>
      <c r="C219" s="17" t="s">
        <v>716</v>
      </c>
      <c r="D219" s="7" t="s">
        <v>3044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16">
        <v>218.0</v>
      </c>
      <c r="B220" s="17" t="s">
        <v>1010</v>
      </c>
      <c r="C220" s="17" t="s">
        <v>716</v>
      </c>
      <c r="D220" s="7" t="s">
        <v>3045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6">
        <v>219.0</v>
      </c>
      <c r="B221" s="17" t="s">
        <v>1015</v>
      </c>
      <c r="C221" s="17" t="s">
        <v>716</v>
      </c>
      <c r="D221" s="7" t="s">
        <v>3046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16">
        <v>220.0</v>
      </c>
      <c r="B222" s="17" t="s">
        <v>1018</v>
      </c>
      <c r="C222" s="17" t="s">
        <v>363</v>
      </c>
      <c r="D222" s="7" t="s">
        <v>3047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6">
        <v>221.0</v>
      </c>
      <c r="B223" s="17" t="s">
        <v>1021</v>
      </c>
      <c r="C223" s="17" t="s">
        <v>363</v>
      </c>
      <c r="D223" s="7" t="s">
        <v>3048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16">
        <v>222.0</v>
      </c>
      <c r="B224" s="17" t="s">
        <v>1026</v>
      </c>
      <c r="C224" s="17" t="s">
        <v>729</v>
      </c>
      <c r="D224" s="7" t="s">
        <v>3049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6">
        <v>223.0</v>
      </c>
      <c r="B225" s="17" t="s">
        <v>1030</v>
      </c>
      <c r="C225" s="17" t="s">
        <v>729</v>
      </c>
      <c r="D225" s="7" t="s">
        <v>3050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16">
        <v>224.0</v>
      </c>
      <c r="B226" s="17" t="s">
        <v>1033</v>
      </c>
      <c r="C226" s="17" t="s">
        <v>729</v>
      </c>
      <c r="D226" s="7" t="s">
        <v>3051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6">
        <v>225.0</v>
      </c>
      <c r="B227" s="17" t="s">
        <v>1035</v>
      </c>
      <c r="C227" s="17" t="s">
        <v>729</v>
      </c>
      <c r="D227" s="7" t="s">
        <v>3052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16">
        <v>226.0</v>
      </c>
      <c r="B228" s="17" t="s">
        <v>1040</v>
      </c>
      <c r="C228" s="17" t="s">
        <v>729</v>
      </c>
      <c r="D228" s="7" t="s">
        <v>3053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6">
        <v>227.0</v>
      </c>
      <c r="B229" s="17" t="s">
        <v>1044</v>
      </c>
      <c r="C229" s="17" t="s">
        <v>738</v>
      </c>
      <c r="D229" s="7" t="s">
        <v>3054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16">
        <v>228.0</v>
      </c>
      <c r="B230" s="17" t="s">
        <v>1047</v>
      </c>
      <c r="C230" s="17" t="s">
        <v>738</v>
      </c>
      <c r="D230" s="7" t="s">
        <v>3055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6">
        <v>229.0</v>
      </c>
      <c r="B231" s="17" t="s">
        <v>1055</v>
      </c>
      <c r="C231" s="17" t="s">
        <v>738</v>
      </c>
      <c r="D231" s="7" t="s">
        <v>3056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16">
        <v>230.0</v>
      </c>
      <c r="B232" s="17" t="s">
        <v>1059</v>
      </c>
      <c r="C232" s="17" t="s">
        <v>738</v>
      </c>
      <c r="D232" s="7" t="s">
        <v>3057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6">
        <v>231.0</v>
      </c>
      <c r="B233" s="17" t="s">
        <v>1065</v>
      </c>
      <c r="C233" s="17" t="s">
        <v>738</v>
      </c>
      <c r="D233" s="7" t="s">
        <v>3058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16">
        <v>232.0</v>
      </c>
      <c r="B234" s="17" t="s">
        <v>1069</v>
      </c>
      <c r="C234" s="17" t="s">
        <v>738</v>
      </c>
      <c r="D234" s="7" t="s">
        <v>3059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6">
        <v>233.0</v>
      </c>
      <c r="B235" s="17" t="s">
        <v>1075</v>
      </c>
      <c r="C235" s="17" t="s">
        <v>1076</v>
      </c>
      <c r="D235" s="7" t="s">
        <v>3060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16">
        <v>234.0</v>
      </c>
      <c r="B236" s="17" t="s">
        <v>1081</v>
      </c>
      <c r="C236" s="17" t="s">
        <v>1076</v>
      </c>
      <c r="D236" s="7" t="s">
        <v>3061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6">
        <v>235.0</v>
      </c>
      <c r="B237" s="17" t="s">
        <v>1086</v>
      </c>
      <c r="C237" s="17" t="s">
        <v>1076</v>
      </c>
      <c r="D237" s="7" t="s">
        <v>3062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16">
        <v>236.0</v>
      </c>
      <c r="B238" s="17" t="s">
        <v>1088</v>
      </c>
      <c r="C238" s="17" t="s">
        <v>1089</v>
      </c>
      <c r="D238" s="7" t="s">
        <v>3063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6">
        <v>237.0</v>
      </c>
      <c r="B239" s="17" t="s">
        <v>1093</v>
      </c>
      <c r="C239" s="17" t="s">
        <v>1089</v>
      </c>
      <c r="D239" s="7" t="s">
        <v>3064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16">
        <v>238.0</v>
      </c>
      <c r="B240" s="17" t="s">
        <v>1097</v>
      </c>
      <c r="C240" s="17" t="s">
        <v>1089</v>
      </c>
      <c r="D240" s="7" t="s">
        <v>3065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6">
        <v>239.0</v>
      </c>
      <c r="B241" s="17" t="s">
        <v>1102</v>
      </c>
      <c r="C241" s="17" t="s">
        <v>1089</v>
      </c>
      <c r="D241" s="7" t="s">
        <v>3066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6">
        <v>240.0</v>
      </c>
      <c r="B242" s="17" t="s">
        <v>1108</v>
      </c>
      <c r="C242" s="17" t="s">
        <v>1109</v>
      </c>
      <c r="D242" s="7" t="s">
        <v>3067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6">
        <v>241.0</v>
      </c>
      <c r="B243" s="17" t="s">
        <v>1114</v>
      </c>
      <c r="C243" s="17" t="s">
        <v>1109</v>
      </c>
      <c r="D243" s="7" t="s">
        <v>3068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6">
        <v>242.0</v>
      </c>
      <c r="B244" s="17" t="s">
        <v>1118</v>
      </c>
      <c r="C244" s="17" t="s">
        <v>1109</v>
      </c>
      <c r="D244" s="7" t="s">
        <v>3069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6">
        <v>243.0</v>
      </c>
      <c r="B245" s="17" t="s">
        <v>1122</v>
      </c>
      <c r="C245" s="17" t="s">
        <v>1109</v>
      </c>
      <c r="D245" s="7" t="s">
        <v>3070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6">
        <v>244.0</v>
      </c>
      <c r="B246" s="17" t="s">
        <v>1126</v>
      </c>
      <c r="C246" s="17" t="s">
        <v>1109</v>
      </c>
      <c r="D246" s="7" t="s">
        <v>3071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6">
        <v>245.0</v>
      </c>
      <c r="B247" s="17" t="s">
        <v>1130</v>
      </c>
      <c r="C247" s="17" t="s">
        <v>1109</v>
      </c>
      <c r="D247" s="7" t="s">
        <v>3072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16">
        <v>246.0</v>
      </c>
      <c r="B248" s="17" t="s">
        <v>9</v>
      </c>
      <c r="C248" s="17" t="s">
        <v>10</v>
      </c>
      <c r="D248" s="7" t="s">
        <v>3073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6">
        <v>247.0</v>
      </c>
      <c r="B249" s="17" t="s">
        <v>1135</v>
      </c>
      <c r="C249" s="17" t="s">
        <v>10</v>
      </c>
      <c r="D249" s="7" t="s">
        <v>3074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16">
        <v>248.0</v>
      </c>
      <c r="B250" s="17" t="s">
        <v>1138</v>
      </c>
      <c r="C250" s="17" t="s">
        <v>10</v>
      </c>
      <c r="D250" s="7" t="s">
        <v>1136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6">
        <v>249.0</v>
      </c>
      <c r="B251" s="17" t="s">
        <v>1141</v>
      </c>
      <c r="C251" s="17" t="s">
        <v>10</v>
      </c>
      <c r="D251" s="7" t="s">
        <v>3075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16">
        <v>250.0</v>
      </c>
      <c r="B252" s="17" t="s">
        <v>1145</v>
      </c>
      <c r="C252" s="17" t="s">
        <v>10</v>
      </c>
      <c r="D252" s="7" t="s">
        <v>3076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6">
        <v>251.0</v>
      </c>
      <c r="B253" s="17" t="s">
        <v>1149</v>
      </c>
      <c r="C253" s="17" t="s">
        <v>10</v>
      </c>
      <c r="D253" s="7" t="s">
        <v>3077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16">
        <v>252.0</v>
      </c>
      <c r="B254" s="17" t="s">
        <v>1152</v>
      </c>
      <c r="C254" s="17" t="s">
        <v>10</v>
      </c>
      <c r="D254" s="7" t="s">
        <v>3078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6">
        <v>253.0</v>
      </c>
      <c r="B255" s="17" t="s">
        <v>1155</v>
      </c>
      <c r="C255" s="17" t="s">
        <v>10</v>
      </c>
      <c r="D255" s="7" t="s">
        <v>3079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16">
        <v>254.0</v>
      </c>
      <c r="B256" s="17" t="s">
        <v>1157</v>
      </c>
      <c r="C256" s="17" t="s">
        <v>10</v>
      </c>
      <c r="D256" s="7" t="s">
        <v>3080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6">
        <v>255.0</v>
      </c>
      <c r="B257" s="17" t="s">
        <v>1163</v>
      </c>
      <c r="C257" s="17" t="s">
        <v>10</v>
      </c>
      <c r="D257" s="7" t="s">
        <v>3081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16">
        <v>256.0</v>
      </c>
      <c r="B258" s="17" t="s">
        <v>1165</v>
      </c>
      <c r="C258" s="17" t="s">
        <v>762</v>
      </c>
      <c r="D258" s="7" t="s">
        <v>3082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6">
        <v>257.0</v>
      </c>
      <c r="B259" s="17" t="s">
        <v>1171</v>
      </c>
      <c r="C259" s="17" t="s">
        <v>762</v>
      </c>
      <c r="D259" s="7" t="s">
        <v>3083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16">
        <v>258.0</v>
      </c>
      <c r="B260" s="17" t="s">
        <v>1174</v>
      </c>
      <c r="C260" s="17" t="s">
        <v>762</v>
      </c>
      <c r="D260" s="7" t="s">
        <v>3084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6">
        <v>259.0</v>
      </c>
      <c r="B261" s="17" t="s">
        <v>1180</v>
      </c>
      <c r="C261" s="17" t="s">
        <v>762</v>
      </c>
      <c r="D261" s="7" t="s">
        <v>3085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16">
        <v>260.0</v>
      </c>
      <c r="B262" s="17" t="s">
        <v>1183</v>
      </c>
      <c r="C262" s="17" t="s">
        <v>762</v>
      </c>
      <c r="D262" s="7" t="s">
        <v>3086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6">
        <v>261.0</v>
      </c>
      <c r="B263" s="17" t="s">
        <v>1189</v>
      </c>
      <c r="C263" s="17" t="s">
        <v>762</v>
      </c>
      <c r="D263" s="7" t="s">
        <v>3087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16">
        <v>262.0</v>
      </c>
      <c r="B264" s="17" t="s">
        <v>1192</v>
      </c>
      <c r="C264" s="17" t="s">
        <v>773</v>
      </c>
      <c r="D264" s="7" t="s">
        <v>3088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6">
        <v>263.0</v>
      </c>
      <c r="B265" s="17" t="s">
        <v>1200</v>
      </c>
      <c r="C265" s="17" t="s">
        <v>773</v>
      </c>
      <c r="D265" s="7" t="s">
        <v>3089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16">
        <v>264.0</v>
      </c>
      <c r="B266" s="17" t="s">
        <v>1203</v>
      </c>
      <c r="C266" s="17" t="s">
        <v>773</v>
      </c>
      <c r="D266" s="7" t="s">
        <v>3090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6">
        <v>265.0</v>
      </c>
      <c r="B267" s="17" t="s">
        <v>1209</v>
      </c>
      <c r="C267" s="17" t="s">
        <v>773</v>
      </c>
      <c r="D267" s="7" t="s">
        <v>3091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16">
        <v>266.0</v>
      </c>
      <c r="B268" s="17" t="s">
        <v>1212</v>
      </c>
      <c r="C268" s="17" t="s">
        <v>1215</v>
      </c>
      <c r="D268" s="7" t="s">
        <v>3092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6">
        <v>267.0</v>
      </c>
      <c r="B269" s="17" t="s">
        <v>1219</v>
      </c>
      <c r="C269" s="17" t="s">
        <v>1215</v>
      </c>
      <c r="D269" s="7" t="s">
        <v>1218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16">
        <v>268.0</v>
      </c>
      <c r="B270" s="17" t="s">
        <v>1225</v>
      </c>
      <c r="C270" s="17" t="s">
        <v>1215</v>
      </c>
      <c r="D270" s="7" t="s">
        <v>3093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6">
        <v>269.0</v>
      </c>
      <c r="B271" s="17" t="s">
        <v>1231</v>
      </c>
      <c r="C271" s="17" t="s">
        <v>1215</v>
      </c>
      <c r="D271" s="7" t="s">
        <v>3094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16">
        <v>270.0</v>
      </c>
      <c r="B272" s="17" t="s">
        <v>1236</v>
      </c>
      <c r="C272" s="17" t="s">
        <v>1215</v>
      </c>
      <c r="D272" s="7" t="s">
        <v>3095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6">
        <v>271.0</v>
      </c>
      <c r="B273" s="17" t="s">
        <v>1241</v>
      </c>
      <c r="C273" s="17" t="s">
        <v>1215</v>
      </c>
      <c r="D273" s="7" t="s">
        <v>3096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16">
        <v>272.0</v>
      </c>
      <c r="B274" s="17" t="s">
        <v>1247</v>
      </c>
      <c r="C274" s="17" t="s">
        <v>781</v>
      </c>
      <c r="D274" s="7" t="s">
        <v>3097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6">
        <v>273.0</v>
      </c>
      <c r="B275" s="17" t="s">
        <v>1330</v>
      </c>
      <c r="C275" s="17" t="s">
        <v>781</v>
      </c>
      <c r="D275" s="7" t="s">
        <v>3098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16">
        <v>274.0</v>
      </c>
      <c r="B276" s="17" t="s">
        <v>1335</v>
      </c>
      <c r="C276" s="17" t="s">
        <v>781</v>
      </c>
      <c r="D276" s="7" t="s">
        <v>3099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6">
        <v>275.0</v>
      </c>
      <c r="B277" s="17" t="s">
        <v>1338</v>
      </c>
      <c r="C277" s="17" t="s">
        <v>781</v>
      </c>
      <c r="D277" s="7" t="s">
        <v>3100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16">
        <v>276.0</v>
      </c>
      <c r="B278" s="17" t="s">
        <v>1342</v>
      </c>
      <c r="C278" s="17" t="s">
        <v>1343</v>
      </c>
      <c r="D278" s="7" t="s">
        <v>3101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6">
        <v>277.0</v>
      </c>
      <c r="B279" s="17" t="s">
        <v>1346</v>
      </c>
      <c r="C279" s="17" t="s">
        <v>1343</v>
      </c>
      <c r="D279" s="7" t="s">
        <v>3102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16">
        <v>278.0</v>
      </c>
      <c r="B280" s="17" t="s">
        <v>1351</v>
      </c>
      <c r="C280" s="17" t="s">
        <v>1343</v>
      </c>
      <c r="D280" s="7" t="s">
        <v>3103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6">
        <v>279.0</v>
      </c>
      <c r="B281" s="17" t="s">
        <v>1355</v>
      </c>
      <c r="C281" s="17" t="s">
        <v>1343</v>
      </c>
      <c r="D281" s="7" t="s">
        <v>3104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16">
        <v>280.0</v>
      </c>
      <c r="B282" s="17" t="s">
        <v>1359</v>
      </c>
      <c r="C282" s="17" t="s">
        <v>795</v>
      </c>
      <c r="D282" s="7" t="s">
        <v>3105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6">
        <v>281.0</v>
      </c>
      <c r="B283" s="17" t="s">
        <v>1363</v>
      </c>
      <c r="C283" s="17" t="s">
        <v>795</v>
      </c>
      <c r="D283" s="7" t="s">
        <v>3106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16">
        <v>282.0</v>
      </c>
      <c r="B284" s="17" t="s">
        <v>1365</v>
      </c>
      <c r="C284" s="17" t="s">
        <v>795</v>
      </c>
      <c r="D284" s="7" t="s">
        <v>3107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6">
        <v>283.0</v>
      </c>
      <c r="B285" s="17" t="s">
        <v>1370</v>
      </c>
      <c r="C285" s="17" t="s">
        <v>795</v>
      </c>
      <c r="D285" s="7" t="s">
        <v>3108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16">
        <v>284.0</v>
      </c>
      <c r="B286" s="17" t="s">
        <v>1375</v>
      </c>
      <c r="C286" s="17" t="s">
        <v>386</v>
      </c>
      <c r="D286" s="7" t="s">
        <v>3109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6">
        <v>285.0</v>
      </c>
      <c r="B287" s="17" t="s">
        <v>1379</v>
      </c>
      <c r="C287" s="17" t="s">
        <v>386</v>
      </c>
      <c r="D287" s="7" t="s">
        <v>3110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16">
        <v>286.0</v>
      </c>
      <c r="B288" s="17" t="s">
        <v>1385</v>
      </c>
      <c r="C288" s="17" t="s">
        <v>386</v>
      </c>
      <c r="D288" s="7" t="s">
        <v>3111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6">
        <v>287.0</v>
      </c>
      <c r="B289" s="17" t="s">
        <v>1390</v>
      </c>
      <c r="C289" s="17" t="s">
        <v>816</v>
      </c>
      <c r="D289" s="7" t="s">
        <v>3112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16">
        <v>288.0</v>
      </c>
      <c r="B290" s="17" t="s">
        <v>1394</v>
      </c>
      <c r="C290" s="17" t="s">
        <v>816</v>
      </c>
      <c r="D290" s="7" t="s">
        <v>3113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6">
        <v>289.0</v>
      </c>
      <c r="B291" s="17" t="s">
        <v>1400</v>
      </c>
      <c r="C291" s="17" t="s">
        <v>816</v>
      </c>
      <c r="D291" s="7" t="s">
        <v>3114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16">
        <v>290.0</v>
      </c>
      <c r="B292" s="17" t="s">
        <v>1402</v>
      </c>
      <c r="C292" s="17" t="s">
        <v>816</v>
      </c>
      <c r="D292" s="7" t="s">
        <v>3115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6">
        <v>291.0</v>
      </c>
      <c r="B293" s="17" t="s">
        <v>1409</v>
      </c>
      <c r="C293" s="17" t="s">
        <v>816</v>
      </c>
      <c r="D293" s="7" t="s">
        <v>3116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16">
        <v>292.0</v>
      </c>
      <c r="B294" s="17" t="s">
        <v>1412</v>
      </c>
      <c r="C294" s="17" t="s">
        <v>824</v>
      </c>
      <c r="D294" s="7" t="s">
        <v>3117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6">
        <v>293.0</v>
      </c>
      <c r="B295" s="17" t="s">
        <v>1418</v>
      </c>
      <c r="C295" s="17" t="s">
        <v>824</v>
      </c>
      <c r="D295" s="7" t="s">
        <v>3118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16">
        <v>294.0</v>
      </c>
      <c r="B296" s="17" t="s">
        <v>1421</v>
      </c>
      <c r="C296" s="17" t="s">
        <v>824</v>
      </c>
      <c r="D296" s="7" t="s">
        <v>3119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6">
        <v>295.0</v>
      </c>
      <c r="B297" s="17" t="s">
        <v>969</v>
      </c>
      <c r="C297" s="17" t="s">
        <v>824</v>
      </c>
      <c r="D297" s="7" t="s">
        <v>3120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16">
        <v>296.0</v>
      </c>
      <c r="B298" s="17" t="s">
        <v>1429</v>
      </c>
      <c r="C298" s="17" t="s">
        <v>830</v>
      </c>
      <c r="D298" s="7" t="s">
        <v>3121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6">
        <v>297.0</v>
      </c>
      <c r="B299" s="17" t="s">
        <v>1436</v>
      </c>
      <c r="C299" s="17" t="s">
        <v>830</v>
      </c>
      <c r="D299" s="7" t="s">
        <v>3122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16">
        <v>298.0</v>
      </c>
      <c r="B300" s="17" t="s">
        <v>1441</v>
      </c>
      <c r="C300" s="17" t="s">
        <v>830</v>
      </c>
      <c r="D300" s="7" t="s">
        <v>3123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6">
        <v>299.0</v>
      </c>
      <c r="B301" s="17" t="s">
        <v>1447</v>
      </c>
      <c r="C301" s="17" t="s">
        <v>830</v>
      </c>
      <c r="D301" s="7" t="s">
        <v>3124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16">
        <v>300.0</v>
      </c>
      <c r="B302" s="17" t="s">
        <v>1454</v>
      </c>
      <c r="C302" s="17" t="s">
        <v>830</v>
      </c>
      <c r="D302" s="7" t="s">
        <v>1453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6">
        <v>301.0</v>
      </c>
      <c r="B303" s="17" t="s">
        <v>1461</v>
      </c>
      <c r="C303" s="17" t="s">
        <v>830</v>
      </c>
      <c r="D303" s="7" t="s">
        <v>1459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16">
        <v>302.0</v>
      </c>
      <c r="B304" s="17" t="s">
        <v>1237</v>
      </c>
      <c r="C304" s="17" t="s">
        <v>830</v>
      </c>
      <c r="D304" s="7" t="s">
        <v>3125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6">
        <v>303.0</v>
      </c>
      <c r="B305" s="17" t="s">
        <v>1468</v>
      </c>
      <c r="C305" s="17" t="s">
        <v>847</v>
      </c>
      <c r="D305" s="7" t="s">
        <v>3126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16">
        <v>304.0</v>
      </c>
      <c r="B306" s="17" t="s">
        <v>1472</v>
      </c>
      <c r="C306" s="17" t="s">
        <v>847</v>
      </c>
      <c r="D306" s="7" t="s">
        <v>3127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6">
        <v>305.0</v>
      </c>
      <c r="B307" s="17" t="s">
        <v>1475</v>
      </c>
      <c r="C307" s="17" t="s">
        <v>847</v>
      </c>
      <c r="D307" s="7" t="s">
        <v>3128</v>
      </c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16">
        <v>306.0</v>
      </c>
      <c r="B308" s="17" t="s">
        <v>1481</v>
      </c>
      <c r="C308" s="17" t="s">
        <v>726</v>
      </c>
      <c r="D308" s="7" t="s">
        <v>3129</v>
      </c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6">
        <v>307.0</v>
      </c>
      <c r="B309" s="17" t="s">
        <v>1483</v>
      </c>
      <c r="C309" s="17" t="s">
        <v>726</v>
      </c>
      <c r="D309" s="7" t="s">
        <v>3130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16">
        <v>308.0</v>
      </c>
      <c r="B310" s="17" t="s">
        <v>723</v>
      </c>
      <c r="C310" s="17" t="s">
        <v>726</v>
      </c>
      <c r="D310" s="7" t="s">
        <v>3131</v>
      </c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6">
        <v>309.0</v>
      </c>
      <c r="B311" s="17" t="s">
        <v>1485</v>
      </c>
      <c r="C311" s="17" t="s">
        <v>1321</v>
      </c>
      <c r="D311" s="7" t="s">
        <v>3132</v>
      </c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16">
        <v>310.0</v>
      </c>
      <c r="B312" s="17" t="s">
        <v>1488</v>
      </c>
      <c r="C312" s="17" t="s">
        <v>1321</v>
      </c>
      <c r="D312" s="7" t="s">
        <v>3133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6">
        <v>311.0</v>
      </c>
      <c r="B313" s="17" t="s">
        <v>1491</v>
      </c>
      <c r="C313" s="17" t="s">
        <v>1321</v>
      </c>
      <c r="D313" s="7" t="s">
        <v>3134</v>
      </c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16">
        <v>312.0</v>
      </c>
      <c r="B314" s="17" t="s">
        <v>1495</v>
      </c>
      <c r="C314" s="17" t="s">
        <v>1321</v>
      </c>
      <c r="D314" s="7" t="s">
        <v>3135</v>
      </c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6">
        <v>313.0</v>
      </c>
      <c r="B315" s="17" t="s">
        <v>1499</v>
      </c>
      <c r="C315" s="17" t="s">
        <v>1321</v>
      </c>
      <c r="D315" s="7" t="s">
        <v>3136</v>
      </c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16">
        <v>314.0</v>
      </c>
      <c r="B316" s="17" t="s">
        <v>1503</v>
      </c>
      <c r="C316" s="17" t="s">
        <v>879</v>
      </c>
      <c r="D316" s="7" t="s">
        <v>3137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6">
        <v>315.0</v>
      </c>
      <c r="B317" s="17" t="s">
        <v>1507</v>
      </c>
      <c r="C317" s="17" t="s">
        <v>879</v>
      </c>
      <c r="D317" s="7" t="s">
        <v>3138</v>
      </c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16">
        <v>316.0</v>
      </c>
      <c r="B318" s="17" t="s">
        <v>1510</v>
      </c>
      <c r="C318" s="17" t="s">
        <v>1512</v>
      </c>
      <c r="D318" s="7" t="s">
        <v>3139</v>
      </c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6">
        <v>317.0</v>
      </c>
      <c r="B319" s="17" t="s">
        <v>1515</v>
      </c>
      <c r="C319" s="17" t="s">
        <v>1512</v>
      </c>
      <c r="D319" s="7" t="s">
        <v>3140</v>
      </c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16">
        <v>318.0</v>
      </c>
      <c r="B320" s="17" t="s">
        <v>20</v>
      </c>
      <c r="C320" s="17" t="s">
        <v>21</v>
      </c>
      <c r="D320" s="7" t="s">
        <v>3141</v>
      </c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6">
        <v>319.0</v>
      </c>
      <c r="B321" s="17" t="s">
        <v>1521</v>
      </c>
      <c r="C321" s="17" t="s">
        <v>21</v>
      </c>
      <c r="D321" s="7" t="s">
        <v>3142</v>
      </c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16">
        <v>320.0</v>
      </c>
      <c r="B322" s="17" t="s">
        <v>1524</v>
      </c>
      <c r="C322" s="17" t="s">
        <v>21</v>
      </c>
      <c r="D322" s="7" t="s">
        <v>3143</v>
      </c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6">
        <v>321.0</v>
      </c>
      <c r="B323" s="17" t="s">
        <v>1528</v>
      </c>
      <c r="C323" s="17" t="s">
        <v>21</v>
      </c>
      <c r="D323" s="7" t="s">
        <v>3144</v>
      </c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16">
        <v>322.0</v>
      </c>
      <c r="B324" s="17" t="s">
        <v>1533</v>
      </c>
      <c r="C324" s="17" t="s">
        <v>21</v>
      </c>
      <c r="D324" s="7" t="s">
        <v>3145</v>
      </c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6">
        <v>323.0</v>
      </c>
      <c r="B325" s="17" t="s">
        <v>1535</v>
      </c>
      <c r="C325" s="17" t="s">
        <v>21</v>
      </c>
      <c r="D325" s="7" t="s">
        <v>3146</v>
      </c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16">
        <v>324.0</v>
      </c>
      <c r="B326" s="17" t="s">
        <v>1544</v>
      </c>
      <c r="C326" s="17" t="s">
        <v>1545</v>
      </c>
      <c r="D326" s="7" t="s">
        <v>3147</v>
      </c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6">
        <v>325.0</v>
      </c>
      <c r="B327" s="17" t="s">
        <v>1549</v>
      </c>
      <c r="C327" s="17" t="s">
        <v>1545</v>
      </c>
      <c r="D327" s="7" t="s">
        <v>3148</v>
      </c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16">
        <v>326.0</v>
      </c>
      <c r="B328" s="17" t="s">
        <v>1552</v>
      </c>
      <c r="C328" s="17" t="s">
        <v>1545</v>
      </c>
      <c r="D328" s="7" t="s">
        <v>3149</v>
      </c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6">
        <v>327.0</v>
      </c>
      <c r="B329" s="17" t="s">
        <v>1555</v>
      </c>
      <c r="C329" s="17" t="s">
        <v>852</v>
      </c>
      <c r="D329" s="7" t="s">
        <v>3127</v>
      </c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16">
        <v>328.0</v>
      </c>
      <c r="B330" s="17" t="s">
        <v>1559</v>
      </c>
      <c r="C330" s="17" t="s">
        <v>852</v>
      </c>
      <c r="D330" s="7" t="s">
        <v>3150</v>
      </c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6">
        <v>329.0</v>
      </c>
      <c r="B331" s="17" t="s">
        <v>1563</v>
      </c>
      <c r="C331" s="17" t="s">
        <v>852</v>
      </c>
      <c r="D331" s="7" t="s">
        <v>3151</v>
      </c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16">
        <v>330.0</v>
      </c>
      <c r="B332" s="17" t="s">
        <v>1566</v>
      </c>
      <c r="C332" s="17" t="s">
        <v>852</v>
      </c>
      <c r="D332" s="7" t="s">
        <v>3152</v>
      </c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6">
        <v>331.0</v>
      </c>
      <c r="B333" s="17" t="s">
        <v>1569</v>
      </c>
      <c r="C333" s="17" t="s">
        <v>852</v>
      </c>
      <c r="D333" s="7" t="s">
        <v>3153</v>
      </c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16">
        <v>332.0</v>
      </c>
      <c r="B334" s="17" t="s">
        <v>1573</v>
      </c>
      <c r="C334" s="17" t="s">
        <v>302</v>
      </c>
      <c r="D334" s="7" t="s">
        <v>3154</v>
      </c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6">
        <v>333.0</v>
      </c>
      <c r="B335" s="17" t="s">
        <v>1577</v>
      </c>
      <c r="C335" s="17" t="s">
        <v>268</v>
      </c>
      <c r="D335" s="7" t="s">
        <v>3155</v>
      </c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16">
        <v>334.0</v>
      </c>
      <c r="B336" s="17" t="s">
        <v>265</v>
      </c>
      <c r="C336" s="17" t="s">
        <v>268</v>
      </c>
      <c r="D336" s="7" t="s">
        <v>3156</v>
      </c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6">
        <v>335.0</v>
      </c>
      <c r="B337" s="17" t="s">
        <v>1584</v>
      </c>
      <c r="C337" s="17" t="s">
        <v>318</v>
      </c>
      <c r="D337" s="7" t="s">
        <v>3157</v>
      </c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16">
        <v>336.0</v>
      </c>
      <c r="B338" s="17" t="s">
        <v>1588</v>
      </c>
      <c r="C338" s="17" t="s">
        <v>318</v>
      </c>
      <c r="D338" s="7" t="s">
        <v>3158</v>
      </c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6">
        <v>337.0</v>
      </c>
      <c r="B339" s="17" t="s">
        <v>1590</v>
      </c>
      <c r="C339" s="17" t="s">
        <v>52</v>
      </c>
      <c r="D339" s="7" t="s">
        <v>3159</v>
      </c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16">
        <v>338.0</v>
      </c>
      <c r="B340" s="17" t="s">
        <v>1593</v>
      </c>
      <c r="C340" s="17" t="s">
        <v>710</v>
      </c>
      <c r="D340" s="7" t="s">
        <v>3160</v>
      </c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6">
        <v>339.0</v>
      </c>
      <c r="B341" s="17" t="s">
        <v>1597</v>
      </c>
      <c r="C341" s="17" t="s">
        <v>354</v>
      </c>
      <c r="D341" s="7" t="s">
        <v>3161</v>
      </c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16">
        <v>340.0</v>
      </c>
      <c r="B342" s="17" t="s">
        <v>1601</v>
      </c>
      <c r="C342" s="17" t="s">
        <v>354</v>
      </c>
      <c r="D342" s="7" t="s">
        <v>3162</v>
      </c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6">
        <v>341.0</v>
      </c>
      <c r="B343" s="17" t="s">
        <v>1605</v>
      </c>
      <c r="C343" s="17" t="s">
        <v>1606</v>
      </c>
      <c r="D343" s="7" t="s">
        <v>3163</v>
      </c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16">
        <v>342.0</v>
      </c>
      <c r="B344" s="17" t="s">
        <v>1610</v>
      </c>
      <c r="C344" s="17" t="s">
        <v>1606</v>
      </c>
      <c r="D344" s="7" t="s">
        <v>3164</v>
      </c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6">
        <v>343.0</v>
      </c>
      <c r="B345" s="17" t="s">
        <v>1613</v>
      </c>
      <c r="C345" s="17" t="s">
        <v>1606</v>
      </c>
      <c r="D345" s="7" t="s">
        <v>3165</v>
      </c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16">
        <v>344.0</v>
      </c>
      <c r="B346" s="17" t="s">
        <v>1617</v>
      </c>
      <c r="C346" s="17" t="s">
        <v>1606</v>
      </c>
      <c r="D346" s="7" t="s">
        <v>3166</v>
      </c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6">
        <v>345.0</v>
      </c>
      <c r="B347" s="17" t="s">
        <v>1621</v>
      </c>
      <c r="C347" s="17" t="s">
        <v>944</v>
      </c>
      <c r="D347" s="7" t="s">
        <v>3167</v>
      </c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16">
        <v>346.0</v>
      </c>
      <c r="B348" s="17" t="s">
        <v>1624</v>
      </c>
      <c r="C348" s="17" t="s">
        <v>944</v>
      </c>
      <c r="D348" s="7" t="s">
        <v>3168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6">
        <v>347.0</v>
      </c>
      <c r="B349" s="17" t="s">
        <v>1627</v>
      </c>
      <c r="C349" s="17" t="s">
        <v>944</v>
      </c>
      <c r="D349" s="7" t="s">
        <v>3169</v>
      </c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16">
        <v>348.0</v>
      </c>
      <c r="B350" s="17" t="s">
        <v>1630</v>
      </c>
      <c r="C350" s="17" t="s">
        <v>944</v>
      </c>
      <c r="D350" s="7" t="s">
        <v>3170</v>
      </c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6">
        <v>349.0</v>
      </c>
      <c r="B351" s="17" t="s">
        <v>1634</v>
      </c>
      <c r="C351" s="17" t="s">
        <v>944</v>
      </c>
      <c r="D351" s="7" t="s">
        <v>3171</v>
      </c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16">
        <v>350.0</v>
      </c>
      <c r="B352" s="17" t="s">
        <v>1638</v>
      </c>
      <c r="C352" s="17" t="s">
        <v>944</v>
      </c>
      <c r="D352" s="7" t="s">
        <v>3172</v>
      </c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6">
        <v>351.0</v>
      </c>
      <c r="B353" s="17" t="s">
        <v>1642</v>
      </c>
      <c r="C353" s="17" t="s">
        <v>944</v>
      </c>
      <c r="D353" s="7" t="s">
        <v>3173</v>
      </c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16">
        <v>352.0</v>
      </c>
      <c r="B354" s="17" t="s">
        <v>1646</v>
      </c>
      <c r="C354" s="17" t="s">
        <v>1647</v>
      </c>
      <c r="D354" s="7" t="s">
        <v>3174</v>
      </c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6">
        <v>353.0</v>
      </c>
      <c r="B355" s="17" t="s">
        <v>1651</v>
      </c>
      <c r="C355" s="17" t="s">
        <v>1647</v>
      </c>
      <c r="D355" s="7" t="s">
        <v>3175</v>
      </c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16">
        <v>354.0</v>
      </c>
      <c r="B356" s="17" t="s">
        <v>1654</v>
      </c>
      <c r="C356" s="17" t="s">
        <v>1647</v>
      </c>
      <c r="D356" s="7" t="s">
        <v>3176</v>
      </c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6">
        <v>355.0</v>
      </c>
      <c r="B357" s="17" t="s">
        <v>1658</v>
      </c>
      <c r="C357" s="17" t="s">
        <v>1647</v>
      </c>
      <c r="D357" s="7" t="s">
        <v>3177</v>
      </c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16">
        <v>356.0</v>
      </c>
      <c r="B358" s="17" t="s">
        <v>1662</v>
      </c>
      <c r="C358" s="17" t="s">
        <v>1647</v>
      </c>
      <c r="D358" s="7" t="s">
        <v>3178</v>
      </c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6">
        <v>357.0</v>
      </c>
      <c r="B359" s="17" t="s">
        <v>1666</v>
      </c>
      <c r="C359" s="17" t="s">
        <v>843</v>
      </c>
      <c r="D359" s="7" t="s">
        <v>3179</v>
      </c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16">
        <v>358.0</v>
      </c>
      <c r="B360" s="17" t="s">
        <v>1670</v>
      </c>
      <c r="C360" s="17" t="s">
        <v>843</v>
      </c>
      <c r="D360" s="7" t="s">
        <v>3180</v>
      </c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6">
        <v>359.0</v>
      </c>
      <c r="B361" s="17" t="s">
        <v>1673</v>
      </c>
      <c r="C361" s="17" t="s">
        <v>843</v>
      </c>
      <c r="D361" s="7" t="s">
        <v>3181</v>
      </c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16">
        <v>360.0</v>
      </c>
      <c r="B362" s="17" t="s">
        <v>1676</v>
      </c>
      <c r="C362" s="17" t="s">
        <v>843</v>
      </c>
      <c r="D362" s="7" t="s">
        <v>3182</v>
      </c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6">
        <v>361.0</v>
      </c>
      <c r="B363" s="17" t="s">
        <v>1680</v>
      </c>
      <c r="C363" s="17" t="s">
        <v>843</v>
      </c>
      <c r="D363" s="7" t="s">
        <v>3183</v>
      </c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16">
        <v>362.0</v>
      </c>
      <c r="B364" s="17" t="s">
        <v>1683</v>
      </c>
      <c r="C364" s="17" t="s">
        <v>843</v>
      </c>
      <c r="D364" s="7" t="s">
        <v>3184</v>
      </c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6">
        <v>363.0</v>
      </c>
      <c r="B365" s="17" t="s">
        <v>1686</v>
      </c>
      <c r="C365" s="17" t="s">
        <v>836</v>
      </c>
      <c r="D365" s="7" t="s">
        <v>3185</v>
      </c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16">
        <v>364.0</v>
      </c>
      <c r="B366" s="17" t="s">
        <v>833</v>
      </c>
      <c r="C366" s="17" t="s">
        <v>836</v>
      </c>
      <c r="D366" s="7" t="s">
        <v>3186</v>
      </c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6">
        <v>365.0</v>
      </c>
      <c r="B367" s="17" t="s">
        <v>1692</v>
      </c>
      <c r="C367" s="17" t="s">
        <v>836</v>
      </c>
      <c r="D367" s="7" t="s">
        <v>3187</v>
      </c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16">
        <v>366.0</v>
      </c>
      <c r="B368" s="17" t="s">
        <v>1696</v>
      </c>
      <c r="C368" s="17" t="s">
        <v>836</v>
      </c>
      <c r="D368" s="7" t="s">
        <v>3188</v>
      </c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6">
        <v>367.0</v>
      </c>
      <c r="B369" s="17" t="s">
        <v>1699</v>
      </c>
      <c r="C369" s="17" t="s">
        <v>836</v>
      </c>
      <c r="D369" s="7" t="s">
        <v>3189</v>
      </c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16">
        <v>368.0</v>
      </c>
      <c r="B370" s="17" t="s">
        <v>1702</v>
      </c>
      <c r="C370" s="17" t="s">
        <v>1272</v>
      </c>
      <c r="D370" s="7" t="s">
        <v>3190</v>
      </c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6">
        <v>369.0</v>
      </c>
      <c r="B371" s="17" t="s">
        <v>1706</v>
      </c>
      <c r="C371" s="17" t="s">
        <v>1272</v>
      </c>
      <c r="D371" s="7" t="s">
        <v>3191</v>
      </c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16">
        <v>370.0</v>
      </c>
      <c r="B372" s="17" t="s">
        <v>1710</v>
      </c>
      <c r="C372" s="17" t="s">
        <v>1272</v>
      </c>
      <c r="D372" s="7" t="s">
        <v>2710</v>
      </c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6">
        <v>371.0</v>
      </c>
      <c r="B373" s="17" t="s">
        <v>1718</v>
      </c>
      <c r="C373" s="17" t="s">
        <v>1272</v>
      </c>
      <c r="D373" s="7" t="s">
        <v>1717</v>
      </c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16">
        <v>372.0</v>
      </c>
      <c r="B374" s="17" t="s">
        <v>1720</v>
      </c>
      <c r="C374" s="17" t="s">
        <v>861</v>
      </c>
      <c r="D374" s="7" t="s">
        <v>3192</v>
      </c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6">
        <v>373.0</v>
      </c>
      <c r="B375" s="17" t="s">
        <v>1722</v>
      </c>
      <c r="C375" s="17" t="s">
        <v>861</v>
      </c>
      <c r="D375" s="7" t="s">
        <v>3193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16">
        <v>374.0</v>
      </c>
      <c r="B376" s="17" t="s">
        <v>1724</v>
      </c>
      <c r="C376" s="17" t="s">
        <v>861</v>
      </c>
      <c r="D376" s="7" t="s">
        <v>3194</v>
      </c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6">
        <v>375.0</v>
      </c>
      <c r="B377" s="17" t="s">
        <v>1726</v>
      </c>
      <c r="C377" s="17" t="s">
        <v>861</v>
      </c>
      <c r="D377" s="7" t="s">
        <v>3195</v>
      </c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16">
        <v>376.0</v>
      </c>
      <c r="B378" s="17" t="s">
        <v>1728</v>
      </c>
      <c r="C378" s="17" t="s">
        <v>861</v>
      </c>
      <c r="D378" s="7" t="s">
        <v>3196</v>
      </c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6">
        <v>377.0</v>
      </c>
      <c r="B379" s="17" t="s">
        <v>1730</v>
      </c>
      <c r="C379" s="17" t="s">
        <v>325</v>
      </c>
      <c r="D379" s="7" t="s">
        <v>1729</v>
      </c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16">
        <v>378.0</v>
      </c>
      <c r="B380" s="17" t="s">
        <v>1732</v>
      </c>
      <c r="C380" s="17" t="s">
        <v>998</v>
      </c>
      <c r="D380" s="7" t="s">
        <v>3197</v>
      </c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6">
        <v>379.0</v>
      </c>
      <c r="B381" s="17" t="s">
        <v>1734</v>
      </c>
      <c r="C381" s="17" t="s">
        <v>998</v>
      </c>
      <c r="D381" s="7" t="s">
        <v>3198</v>
      </c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16">
        <v>380.0</v>
      </c>
      <c r="B382" s="17" t="s">
        <v>1737</v>
      </c>
      <c r="C382" s="17" t="s">
        <v>998</v>
      </c>
      <c r="D382" s="7" t="s">
        <v>3199</v>
      </c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6">
        <v>381.0</v>
      </c>
      <c r="B383" s="17" t="s">
        <v>1740</v>
      </c>
      <c r="C383" s="17" t="s">
        <v>998</v>
      </c>
      <c r="D383" s="7" t="s">
        <v>3200</v>
      </c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16">
        <v>382.0</v>
      </c>
      <c r="B384" s="17" t="s">
        <v>1744</v>
      </c>
      <c r="C384" s="17" t="s">
        <v>1014</v>
      </c>
      <c r="D384" s="7" t="s">
        <v>3201</v>
      </c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6">
        <v>383.0</v>
      </c>
      <c r="B385" s="17" t="s">
        <v>1748</v>
      </c>
      <c r="C385" s="17" t="s">
        <v>1014</v>
      </c>
      <c r="D385" s="7" t="s">
        <v>3202</v>
      </c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16">
        <v>384.0</v>
      </c>
      <c r="B386" s="17" t="s">
        <v>1752</v>
      </c>
      <c r="C386" s="17" t="s">
        <v>1014</v>
      </c>
      <c r="D386" s="7" t="s">
        <v>3203</v>
      </c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6">
        <v>385.0</v>
      </c>
      <c r="B387" s="17" t="s">
        <v>1755</v>
      </c>
      <c r="C387" s="17" t="s">
        <v>1025</v>
      </c>
      <c r="D387" s="7" t="s">
        <v>3204</v>
      </c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16">
        <v>386.0</v>
      </c>
      <c r="B388" s="17" t="s">
        <v>1758</v>
      </c>
      <c r="C388" s="17" t="s">
        <v>1025</v>
      </c>
      <c r="D388" s="7" t="s">
        <v>3205</v>
      </c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6">
        <v>387.0</v>
      </c>
      <c r="B389" s="17" t="s">
        <v>1762</v>
      </c>
      <c r="C389" s="17" t="s">
        <v>1025</v>
      </c>
      <c r="D389" s="7" t="s">
        <v>3206</v>
      </c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16">
        <v>388.0</v>
      </c>
      <c r="B390" s="17" t="s">
        <v>1766</v>
      </c>
      <c r="C390" s="17" t="s">
        <v>1025</v>
      </c>
      <c r="D390" s="7" t="s">
        <v>3207</v>
      </c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6">
        <v>389.0</v>
      </c>
      <c r="B391" s="17" t="s">
        <v>1770</v>
      </c>
      <c r="C391" s="17" t="s">
        <v>1025</v>
      </c>
      <c r="D391" s="7" t="s">
        <v>3208</v>
      </c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16">
        <v>390.0</v>
      </c>
      <c r="B392" s="17" t="s">
        <v>1773</v>
      </c>
      <c r="C392" s="17" t="s">
        <v>1025</v>
      </c>
      <c r="D392" s="7" t="s">
        <v>3209</v>
      </c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6">
        <v>391.0</v>
      </c>
      <c r="B393" s="17" t="s">
        <v>1778</v>
      </c>
      <c r="C393" s="17" t="s">
        <v>1025</v>
      </c>
      <c r="D393" s="7" t="s">
        <v>3210</v>
      </c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16">
        <v>392.0</v>
      </c>
      <c r="B394" s="17" t="s">
        <v>1781</v>
      </c>
      <c r="C394" s="17" t="s">
        <v>346</v>
      </c>
      <c r="D394" s="7" t="s">
        <v>2891</v>
      </c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6">
        <v>393.0</v>
      </c>
      <c r="B395" s="17" t="s">
        <v>1787</v>
      </c>
      <c r="C395" s="17" t="s">
        <v>346</v>
      </c>
      <c r="D395" s="7" t="s">
        <v>3211</v>
      </c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16">
        <v>394.0</v>
      </c>
      <c r="B396" s="17" t="s">
        <v>1791</v>
      </c>
      <c r="C396" s="17" t="s">
        <v>346</v>
      </c>
      <c r="D396" s="7" t="s">
        <v>3212</v>
      </c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6">
        <v>395.0</v>
      </c>
      <c r="B397" s="17" t="s">
        <v>1795</v>
      </c>
      <c r="C397" s="17" t="s">
        <v>421</v>
      </c>
      <c r="D397" s="7" t="s">
        <v>3213</v>
      </c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16">
        <v>396.0</v>
      </c>
      <c r="B398" s="17" t="s">
        <v>1799</v>
      </c>
      <c r="C398" s="17" t="s">
        <v>421</v>
      </c>
      <c r="D398" s="7" t="s">
        <v>3214</v>
      </c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6">
        <v>397.0</v>
      </c>
      <c r="B399" s="17" t="s">
        <v>1803</v>
      </c>
      <c r="C399" s="17" t="s">
        <v>38</v>
      </c>
      <c r="D399" s="7" t="s">
        <v>3215</v>
      </c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16">
        <v>398.0</v>
      </c>
      <c r="B400" s="17" t="s">
        <v>1806</v>
      </c>
      <c r="C400" s="17" t="s">
        <v>38</v>
      </c>
      <c r="D400" s="7" t="s">
        <v>3217</v>
      </c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6">
        <v>399.0</v>
      </c>
      <c r="B401" s="17" t="s">
        <v>600</v>
      </c>
      <c r="C401" s="17" t="s">
        <v>38</v>
      </c>
      <c r="D401" s="7" t="s">
        <v>3218</v>
      </c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16">
        <v>400.0</v>
      </c>
      <c r="B402" s="17" t="s">
        <v>1813</v>
      </c>
      <c r="C402" s="17" t="s">
        <v>273</v>
      </c>
      <c r="D402" s="7" t="s">
        <v>3219</v>
      </c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6">
        <v>401.0</v>
      </c>
      <c r="B403" s="17" t="s">
        <v>1818</v>
      </c>
      <c r="C403" s="17" t="s">
        <v>621</v>
      </c>
      <c r="D403" s="7" t="s">
        <v>3220</v>
      </c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16">
        <v>402.0</v>
      </c>
      <c r="B404" s="17" t="s">
        <v>1822</v>
      </c>
      <c r="C404" s="17" t="s">
        <v>621</v>
      </c>
      <c r="D404" s="7" t="s">
        <v>3221</v>
      </c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6">
        <v>403.0</v>
      </c>
      <c r="B405" s="17" t="s">
        <v>620</v>
      </c>
      <c r="C405" s="17" t="s">
        <v>621</v>
      </c>
      <c r="D405" s="7" t="s">
        <v>3222</v>
      </c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16">
        <v>404.0</v>
      </c>
      <c r="B406" s="17" t="s">
        <v>1827</v>
      </c>
      <c r="C406" s="17" t="s">
        <v>1049</v>
      </c>
      <c r="D406" s="7" t="s">
        <v>3223</v>
      </c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6">
        <v>405.0</v>
      </c>
      <c r="B407" s="17" t="s">
        <v>1832</v>
      </c>
      <c r="C407" s="17" t="s">
        <v>1049</v>
      </c>
      <c r="D407" s="7" t="s">
        <v>1829</v>
      </c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16">
        <v>406.0</v>
      </c>
      <c r="B408" s="17" t="s">
        <v>1835</v>
      </c>
      <c r="C408" s="17" t="s">
        <v>1049</v>
      </c>
      <c r="D408" s="7" t="s">
        <v>3224</v>
      </c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6">
        <v>407.0</v>
      </c>
      <c r="B409" s="17" t="s">
        <v>1838</v>
      </c>
      <c r="C409" s="17" t="s">
        <v>1049</v>
      </c>
      <c r="D409" s="7" t="s">
        <v>3225</v>
      </c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16">
        <v>408.0</v>
      </c>
      <c r="B410" s="17" t="s">
        <v>1842</v>
      </c>
      <c r="C410" s="17" t="s">
        <v>296</v>
      </c>
      <c r="D410" s="7" t="s">
        <v>3226</v>
      </c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6">
        <v>409.0</v>
      </c>
      <c r="B411" s="17" t="s">
        <v>1847</v>
      </c>
      <c r="C411" s="17" t="s">
        <v>296</v>
      </c>
      <c r="D411" s="7" t="s">
        <v>3227</v>
      </c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16">
        <v>410.0</v>
      </c>
      <c r="B412" s="17" t="s">
        <v>1849</v>
      </c>
      <c r="C412" s="17" t="s">
        <v>1851</v>
      </c>
      <c r="D412" s="7" t="s">
        <v>1957</v>
      </c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6">
        <v>411.0</v>
      </c>
      <c r="B413" s="17" t="s">
        <v>1853</v>
      </c>
      <c r="C413" s="17" t="s">
        <v>1851</v>
      </c>
      <c r="D413" s="7" t="s">
        <v>3228</v>
      </c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16">
        <v>412.0</v>
      </c>
      <c r="B414" s="17" t="s">
        <v>1857</v>
      </c>
      <c r="C414" s="17" t="s">
        <v>1851</v>
      </c>
      <c r="D414" s="7" t="s">
        <v>3229</v>
      </c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6">
        <v>413.0</v>
      </c>
      <c r="B415" s="17" t="s">
        <v>1861</v>
      </c>
      <c r="C415" s="17" t="s">
        <v>1851</v>
      </c>
      <c r="D415" s="7" t="s">
        <v>3230</v>
      </c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16">
        <v>414.0</v>
      </c>
      <c r="B416" s="17" t="s">
        <v>1866</v>
      </c>
      <c r="C416" s="17" t="s">
        <v>1057</v>
      </c>
      <c r="D416" s="7" t="s">
        <v>3231</v>
      </c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6">
        <v>415.0</v>
      </c>
      <c r="B417" s="17" t="s">
        <v>1869</v>
      </c>
      <c r="C417" s="17" t="s">
        <v>1057</v>
      </c>
      <c r="D417" s="7" t="s">
        <v>3232</v>
      </c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16">
        <v>416.0</v>
      </c>
      <c r="B418" s="17" t="s">
        <v>1872</v>
      </c>
      <c r="C418" s="17" t="s">
        <v>1057</v>
      </c>
      <c r="D418" s="7" t="s">
        <v>3233</v>
      </c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6">
        <v>417.0</v>
      </c>
      <c r="B419" s="17" t="s">
        <v>1877</v>
      </c>
      <c r="C419" s="17" t="s">
        <v>1057</v>
      </c>
      <c r="D419" s="7" t="s">
        <v>3234</v>
      </c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16">
        <v>418.0</v>
      </c>
      <c r="B420" s="17" t="s">
        <v>1882</v>
      </c>
      <c r="C420" s="17" t="s">
        <v>1066</v>
      </c>
      <c r="D420" s="7" t="s">
        <v>1879</v>
      </c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6">
        <v>419.0</v>
      </c>
      <c r="B421" s="17" t="s">
        <v>1884</v>
      </c>
      <c r="C421" s="17" t="s">
        <v>1066</v>
      </c>
      <c r="D421" s="7" t="s">
        <v>3235</v>
      </c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16">
        <v>420.0</v>
      </c>
      <c r="B422" s="17" t="s">
        <v>1886</v>
      </c>
      <c r="C422" s="17" t="s">
        <v>1066</v>
      </c>
      <c r="D422" s="7" t="s">
        <v>3236</v>
      </c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6">
        <v>421.0</v>
      </c>
      <c r="B423" s="17" t="s">
        <v>1889</v>
      </c>
      <c r="C423" s="17" t="s">
        <v>1891</v>
      </c>
      <c r="D423" s="7" t="s">
        <v>3237</v>
      </c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16">
        <v>422.0</v>
      </c>
      <c r="B424" s="17" t="s">
        <v>1894</v>
      </c>
      <c r="C424" s="17" t="s">
        <v>1891</v>
      </c>
      <c r="D424" s="7" t="s">
        <v>3238</v>
      </c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6">
        <v>423.0</v>
      </c>
      <c r="B425" s="17" t="s">
        <v>1898</v>
      </c>
      <c r="C425" s="17" t="s">
        <v>1891</v>
      </c>
      <c r="D425" s="7" t="s">
        <v>3239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16">
        <v>424.0</v>
      </c>
      <c r="B426" s="17" t="s">
        <v>1900</v>
      </c>
      <c r="C426" s="17" t="s">
        <v>1891</v>
      </c>
      <c r="D426" s="7" t="s">
        <v>3240</v>
      </c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6">
        <v>425.0</v>
      </c>
      <c r="B427" s="17" t="s">
        <v>1902</v>
      </c>
      <c r="C427" s="17" t="s">
        <v>1493</v>
      </c>
      <c r="D427" s="7" t="s">
        <v>3241</v>
      </c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16">
        <v>426.0</v>
      </c>
      <c r="B428" s="17" t="s">
        <v>1907</v>
      </c>
      <c r="C428" s="17" t="s">
        <v>1493</v>
      </c>
      <c r="D428" s="7" t="s">
        <v>3242</v>
      </c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6">
        <v>427.0</v>
      </c>
      <c r="B429" s="17" t="s">
        <v>1911</v>
      </c>
      <c r="C429" s="17" t="s">
        <v>1493</v>
      </c>
      <c r="D429" s="7" t="s">
        <v>3243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16">
        <v>428.0</v>
      </c>
      <c r="B430" s="17" t="s">
        <v>1913</v>
      </c>
      <c r="C430" s="17" t="s">
        <v>516</v>
      </c>
      <c r="D430" s="7" t="s">
        <v>3244</v>
      </c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6">
        <v>429.0</v>
      </c>
      <c r="B431" s="17" t="s">
        <v>1918</v>
      </c>
      <c r="C431" s="17" t="s">
        <v>516</v>
      </c>
      <c r="D431" s="7" t="s">
        <v>3245</v>
      </c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16">
        <v>430.0</v>
      </c>
      <c r="B432" s="17" t="s">
        <v>1922</v>
      </c>
      <c r="C432" s="17" t="s">
        <v>516</v>
      </c>
      <c r="D432" s="7" t="s">
        <v>3246</v>
      </c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6">
        <v>431.0</v>
      </c>
      <c r="B433" s="17" t="s">
        <v>1924</v>
      </c>
      <c r="C433" s="17" t="s">
        <v>1656</v>
      </c>
      <c r="D433" s="7" t="s">
        <v>3247</v>
      </c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16">
        <v>432.0</v>
      </c>
      <c r="B434" s="17" t="s">
        <v>1928</v>
      </c>
      <c r="C434" s="17" t="s">
        <v>1656</v>
      </c>
      <c r="D434" s="7" t="s">
        <v>3248</v>
      </c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6">
        <v>433.0</v>
      </c>
      <c r="B435" s="17" t="s">
        <v>1933</v>
      </c>
      <c r="C435" s="17" t="s">
        <v>1656</v>
      </c>
      <c r="D435" s="7" t="s">
        <v>3249</v>
      </c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16">
        <v>434.0</v>
      </c>
      <c r="B436" s="17" t="s">
        <v>1937</v>
      </c>
      <c r="C436" s="17" t="s">
        <v>1656</v>
      </c>
      <c r="D436" s="7" t="s">
        <v>3250</v>
      </c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6">
        <v>435.0</v>
      </c>
      <c r="B437" s="17" t="s">
        <v>1940</v>
      </c>
      <c r="C437" s="17" t="s">
        <v>684</v>
      </c>
      <c r="D437" s="7" t="s">
        <v>3251</v>
      </c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16">
        <v>436.0</v>
      </c>
      <c r="B438" s="17" t="s">
        <v>1943</v>
      </c>
      <c r="C438" s="17" t="s">
        <v>684</v>
      </c>
      <c r="D438" s="7" t="s">
        <v>3252</v>
      </c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6">
        <v>437.0</v>
      </c>
      <c r="B439" s="17" t="s">
        <v>1946</v>
      </c>
      <c r="C439" s="17" t="s">
        <v>693</v>
      </c>
      <c r="D439" s="7" t="s">
        <v>3253</v>
      </c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16">
        <v>438.0</v>
      </c>
      <c r="B440" s="17" t="s">
        <v>1950</v>
      </c>
      <c r="C440" s="17" t="s">
        <v>282</v>
      </c>
      <c r="D440" s="7" t="s">
        <v>3254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6">
        <v>439.0</v>
      </c>
      <c r="B441" s="17" t="s">
        <v>1953</v>
      </c>
      <c r="C441" s="17" t="s">
        <v>661</v>
      </c>
      <c r="D441" s="7" t="s">
        <v>3255</v>
      </c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16">
        <v>440.0</v>
      </c>
      <c r="B442" s="17" t="s">
        <v>1956</v>
      </c>
      <c r="C442" s="17" t="s">
        <v>661</v>
      </c>
      <c r="D442" s="7" t="s">
        <v>3256</v>
      </c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6">
        <v>441.0</v>
      </c>
      <c r="B443" s="17" t="s">
        <v>1961</v>
      </c>
      <c r="C443" s="17" t="s">
        <v>675</v>
      </c>
      <c r="D443" s="7" t="s">
        <v>3257</v>
      </c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16">
        <v>442.0</v>
      </c>
      <c r="B444" s="17" t="s">
        <v>1965</v>
      </c>
      <c r="C444" s="17" t="s">
        <v>1074</v>
      </c>
      <c r="D444" s="7" t="s">
        <v>3258</v>
      </c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6">
        <v>443.0</v>
      </c>
      <c r="B445" s="17" t="s">
        <v>1968</v>
      </c>
      <c r="C445" s="17" t="s">
        <v>1074</v>
      </c>
      <c r="D445" s="7" t="s">
        <v>3259</v>
      </c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16">
        <v>444.0</v>
      </c>
      <c r="B446" s="17" t="s">
        <v>1972</v>
      </c>
      <c r="C446" s="17" t="s">
        <v>1074</v>
      </c>
      <c r="D446" s="7" t="s">
        <v>3260</v>
      </c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6">
        <v>445.0</v>
      </c>
      <c r="B447" s="17" t="s">
        <v>1976</v>
      </c>
      <c r="C447" s="17" t="s">
        <v>1809</v>
      </c>
      <c r="D447" s="7" t="s">
        <v>3261</v>
      </c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16">
        <v>446.0</v>
      </c>
      <c r="B448" s="17" t="s">
        <v>1980</v>
      </c>
      <c r="C448" s="17" t="s">
        <v>1809</v>
      </c>
      <c r="D448" s="7" t="s">
        <v>3262</v>
      </c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6">
        <v>447.0</v>
      </c>
      <c r="B449" s="17" t="s">
        <v>1984</v>
      </c>
      <c r="C449" s="17" t="s">
        <v>1809</v>
      </c>
      <c r="D449" s="7" t="s">
        <v>3263</v>
      </c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16">
        <v>448.0</v>
      </c>
      <c r="B450" s="17" t="s">
        <v>1988</v>
      </c>
      <c r="C450" s="17" t="s">
        <v>1809</v>
      </c>
      <c r="D450" s="7" t="s">
        <v>3264</v>
      </c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6">
        <v>449.0</v>
      </c>
      <c r="B451" s="17" t="s">
        <v>1991</v>
      </c>
      <c r="C451" s="17" t="s">
        <v>1993</v>
      </c>
      <c r="D451" s="7" t="s">
        <v>3265</v>
      </c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16">
        <v>450.0</v>
      </c>
      <c r="B452" s="17" t="s">
        <v>1996</v>
      </c>
      <c r="C452" s="17" t="s">
        <v>1993</v>
      </c>
      <c r="D452" s="7" t="s">
        <v>3266</v>
      </c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6">
        <v>451.0</v>
      </c>
      <c r="B453" s="17" t="s">
        <v>2004</v>
      </c>
      <c r="C453" s="17" t="s">
        <v>1993</v>
      </c>
      <c r="D453" s="7" t="s">
        <v>3267</v>
      </c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16">
        <v>452.0</v>
      </c>
      <c r="B454" s="17" t="s">
        <v>2008</v>
      </c>
      <c r="C454" s="17" t="s">
        <v>1369</v>
      </c>
      <c r="D454" s="7" t="s">
        <v>3268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6">
        <v>453.0</v>
      </c>
      <c r="B455" s="17" t="s">
        <v>2012</v>
      </c>
      <c r="C455" s="17" t="s">
        <v>1369</v>
      </c>
      <c r="D455" s="7" t="s">
        <v>3269</v>
      </c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16">
        <v>454.0</v>
      </c>
      <c r="B456" s="17" t="s">
        <v>2016</v>
      </c>
      <c r="C456" s="17" t="s">
        <v>1369</v>
      </c>
      <c r="D456" s="7" t="s">
        <v>3270</v>
      </c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6">
        <v>455.0</v>
      </c>
      <c r="B457" s="17" t="s">
        <v>1465</v>
      </c>
      <c r="C457" s="17" t="s">
        <v>1369</v>
      </c>
      <c r="D457" s="7" t="s">
        <v>3271</v>
      </c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16">
        <v>456.0</v>
      </c>
      <c r="B458" s="17" t="s">
        <v>2022</v>
      </c>
      <c r="C458" s="17" t="s">
        <v>1084</v>
      </c>
      <c r="D458" s="7" t="s">
        <v>3272</v>
      </c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6">
        <v>457.0</v>
      </c>
      <c r="B459" s="17" t="s">
        <v>2025</v>
      </c>
      <c r="C459" s="17" t="s">
        <v>1084</v>
      </c>
      <c r="D459" s="7" t="s">
        <v>3273</v>
      </c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16">
        <v>458.0</v>
      </c>
      <c r="B460" s="17" t="s">
        <v>2029</v>
      </c>
      <c r="C460" s="17" t="s">
        <v>1084</v>
      </c>
      <c r="D460" s="7" t="s">
        <v>2028</v>
      </c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6">
        <v>459.0</v>
      </c>
      <c r="B461" s="17" t="s">
        <v>2034</v>
      </c>
      <c r="C461" s="17" t="s">
        <v>1084</v>
      </c>
      <c r="D461" s="7" t="s">
        <v>2033</v>
      </c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16">
        <v>460.0</v>
      </c>
      <c r="B462" s="17" t="s">
        <v>2037</v>
      </c>
      <c r="C462" s="17" t="s">
        <v>1084</v>
      </c>
      <c r="D462" s="7" t="s">
        <v>3274</v>
      </c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6">
        <v>461.0</v>
      </c>
      <c r="B463" s="17" t="s">
        <v>2042</v>
      </c>
      <c r="C463" s="17" t="s">
        <v>1084</v>
      </c>
      <c r="D463" s="7" t="s">
        <v>2041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16">
        <v>462.0</v>
      </c>
      <c r="B464" s="17" t="s">
        <v>1295</v>
      </c>
      <c r="C464" s="17" t="s">
        <v>1084</v>
      </c>
      <c r="D464" s="7" t="s">
        <v>1294</v>
      </c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6">
        <v>463.0</v>
      </c>
      <c r="B465" s="17" t="s">
        <v>2048</v>
      </c>
      <c r="C465" s="17" t="s">
        <v>869</v>
      </c>
      <c r="D465" s="7" t="s">
        <v>3275</v>
      </c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16">
        <v>464.0</v>
      </c>
      <c r="B466" s="17" t="s">
        <v>2051</v>
      </c>
      <c r="C466" s="17" t="s">
        <v>869</v>
      </c>
      <c r="D466" s="7" t="s">
        <v>3276</v>
      </c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6">
        <v>465.0</v>
      </c>
      <c r="B467" s="17" t="s">
        <v>2055</v>
      </c>
      <c r="C467" s="17" t="s">
        <v>869</v>
      </c>
      <c r="D467" s="7" t="s">
        <v>3277</v>
      </c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16">
        <v>466.0</v>
      </c>
      <c r="B468" s="17" t="s">
        <v>976</v>
      </c>
      <c r="C468" s="17" t="s">
        <v>869</v>
      </c>
      <c r="D468" s="7" t="s">
        <v>3278</v>
      </c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6">
        <v>467.0</v>
      </c>
      <c r="B469" s="17" t="s">
        <v>2061</v>
      </c>
      <c r="C469" s="17" t="s">
        <v>1098</v>
      </c>
      <c r="D469" s="7" t="s">
        <v>3279</v>
      </c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16">
        <v>468.0</v>
      </c>
      <c r="B470" s="17" t="s">
        <v>2066</v>
      </c>
      <c r="C470" s="17" t="s">
        <v>1098</v>
      </c>
      <c r="D470" s="7" t="s">
        <v>3280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6">
        <v>469.0</v>
      </c>
      <c r="B471" s="17" t="s">
        <v>2070</v>
      </c>
      <c r="C471" s="17" t="s">
        <v>1098</v>
      </c>
      <c r="D471" s="7" t="s">
        <v>3281</v>
      </c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16">
        <v>470.0</v>
      </c>
      <c r="B472" s="17" t="s">
        <v>2073</v>
      </c>
      <c r="C472" s="17" t="s">
        <v>1098</v>
      </c>
      <c r="D472" s="7" t="s">
        <v>2071</v>
      </c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6">
        <v>471.0</v>
      </c>
      <c r="B473" s="17" t="s">
        <v>2077</v>
      </c>
      <c r="C473" s="17" t="s">
        <v>1098</v>
      </c>
      <c r="D473" s="7" t="s">
        <v>3282</v>
      </c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16">
        <v>472.0</v>
      </c>
      <c r="B474" s="17" t="s">
        <v>2081</v>
      </c>
      <c r="C474" s="17" t="s">
        <v>1098</v>
      </c>
      <c r="D474" s="7" t="s">
        <v>2080</v>
      </c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6">
        <v>473.0</v>
      </c>
      <c r="B475" s="17" t="s">
        <v>2085</v>
      </c>
      <c r="C475" s="17" t="s">
        <v>2086</v>
      </c>
      <c r="D475" s="7" t="s">
        <v>3283</v>
      </c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16">
        <v>474.0</v>
      </c>
      <c r="B476" s="17" t="s">
        <v>2090</v>
      </c>
      <c r="C476" s="17" t="s">
        <v>2086</v>
      </c>
      <c r="D476" s="7" t="s">
        <v>3284</v>
      </c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6">
        <v>475.0</v>
      </c>
      <c r="B477" s="17" t="s">
        <v>2093</v>
      </c>
      <c r="C477" s="17" t="s">
        <v>2086</v>
      </c>
      <c r="D477" s="7" t="s">
        <v>3285</v>
      </c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16">
        <v>476.0</v>
      </c>
      <c r="B478" s="17" t="s">
        <v>2097</v>
      </c>
      <c r="C478" s="17" t="s">
        <v>2086</v>
      </c>
      <c r="D478" s="7" t="s">
        <v>3286</v>
      </c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6">
        <v>477.0</v>
      </c>
      <c r="B479" s="17" t="s">
        <v>2102</v>
      </c>
      <c r="C479" s="17" t="s">
        <v>1776</v>
      </c>
      <c r="D479" s="7" t="s">
        <v>3287</v>
      </c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16">
        <v>478.0</v>
      </c>
      <c r="B480" s="17" t="s">
        <v>2106</v>
      </c>
      <c r="C480" s="17" t="s">
        <v>1776</v>
      </c>
      <c r="D480" s="7" t="s">
        <v>3054</v>
      </c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6">
        <v>479.0</v>
      </c>
      <c r="B481" s="17" t="s">
        <v>2111</v>
      </c>
      <c r="C481" s="17" t="s">
        <v>1107</v>
      </c>
      <c r="D481" s="7" t="s">
        <v>3288</v>
      </c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16">
        <v>480.0</v>
      </c>
      <c r="B482" s="17" t="s">
        <v>2115</v>
      </c>
      <c r="C482" s="17" t="s">
        <v>1107</v>
      </c>
      <c r="D482" s="7" t="s">
        <v>3289</v>
      </c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6">
        <v>481.0</v>
      </c>
      <c r="B483" s="17" t="s">
        <v>2118</v>
      </c>
      <c r="C483" s="17" t="s">
        <v>1107</v>
      </c>
      <c r="D483" s="7" t="s">
        <v>3290</v>
      </c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16">
        <v>482.0</v>
      </c>
      <c r="B484" s="17" t="s">
        <v>2123</v>
      </c>
      <c r="C484" s="17" t="s">
        <v>1107</v>
      </c>
      <c r="D484" s="7" t="s">
        <v>3291</v>
      </c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6">
        <v>483.0</v>
      </c>
      <c r="B485" s="17" t="s">
        <v>2127</v>
      </c>
      <c r="C485" s="17" t="s">
        <v>1116</v>
      </c>
      <c r="D485" s="7" t="s">
        <v>3292</v>
      </c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16">
        <v>484.0</v>
      </c>
      <c r="B486" s="17" t="s">
        <v>2131</v>
      </c>
      <c r="C486" s="17" t="s">
        <v>1116</v>
      </c>
      <c r="D486" s="7" t="s">
        <v>3293</v>
      </c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6">
        <v>485.0</v>
      </c>
      <c r="B487" s="17" t="s">
        <v>2134</v>
      </c>
      <c r="C487" s="17" t="s">
        <v>1116</v>
      </c>
      <c r="D487" s="7" t="s">
        <v>3294</v>
      </c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16">
        <v>486.0</v>
      </c>
      <c r="B488" s="17" t="s">
        <v>2137</v>
      </c>
      <c r="C488" s="17" t="s">
        <v>2139</v>
      </c>
      <c r="D488" s="7" t="s">
        <v>3295</v>
      </c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6">
        <v>487.0</v>
      </c>
      <c r="B489" s="17" t="s">
        <v>2141</v>
      </c>
      <c r="C489" s="17" t="s">
        <v>2139</v>
      </c>
      <c r="D489" s="7" t="s">
        <v>3296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16">
        <v>488.0</v>
      </c>
      <c r="B490" s="17" t="s">
        <v>2145</v>
      </c>
      <c r="C490" s="17" t="s">
        <v>2139</v>
      </c>
      <c r="D490" s="7" t="s">
        <v>3297</v>
      </c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6">
        <v>489.0</v>
      </c>
      <c r="B491" s="17" t="s">
        <v>2150</v>
      </c>
      <c r="C491" s="17" t="s">
        <v>67</v>
      </c>
      <c r="D491" s="7" t="s">
        <v>2109</v>
      </c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16">
        <v>490.0</v>
      </c>
      <c r="B492" s="17" t="s">
        <v>2153</v>
      </c>
      <c r="C492" s="17" t="s">
        <v>67</v>
      </c>
      <c r="D492" s="7" t="s">
        <v>3298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6">
        <v>491.0</v>
      </c>
      <c r="B493" s="17" t="s">
        <v>2156</v>
      </c>
      <c r="C493" s="17" t="s">
        <v>67</v>
      </c>
      <c r="D493" s="7" t="s">
        <v>3299</v>
      </c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16">
        <v>492.0</v>
      </c>
      <c r="B494" s="17" t="s">
        <v>2158</v>
      </c>
      <c r="C494" s="17" t="s">
        <v>1256</v>
      </c>
      <c r="D494" s="7" t="s">
        <v>3300</v>
      </c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6">
        <v>493.0</v>
      </c>
      <c r="B495" s="17" t="s">
        <v>2160</v>
      </c>
      <c r="C495" s="17" t="s">
        <v>1256</v>
      </c>
      <c r="D495" s="7" t="s">
        <v>2159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16">
        <v>494.0</v>
      </c>
      <c r="B496" s="17" t="s">
        <v>2164</v>
      </c>
      <c r="C496" s="17" t="s">
        <v>1256</v>
      </c>
      <c r="D496" s="7" t="s">
        <v>3301</v>
      </c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6">
        <v>495.0</v>
      </c>
      <c r="B497" s="17" t="s">
        <v>2167</v>
      </c>
      <c r="C497" s="17" t="s">
        <v>1256</v>
      </c>
      <c r="D497" s="7" t="s">
        <v>2165</v>
      </c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16">
        <v>496.0</v>
      </c>
      <c r="B498" s="17" t="s">
        <v>2170</v>
      </c>
      <c r="C498" s="17" t="s">
        <v>1256</v>
      </c>
      <c r="D498" s="7" t="s">
        <v>2169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6">
        <v>497.0</v>
      </c>
      <c r="B499" s="17" t="s">
        <v>2174</v>
      </c>
      <c r="C499" s="17" t="s">
        <v>378</v>
      </c>
      <c r="D499" s="7" t="s">
        <v>3302</v>
      </c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16">
        <v>498.0</v>
      </c>
      <c r="B500" s="17" t="s">
        <v>2176</v>
      </c>
      <c r="C500" s="17" t="s">
        <v>378</v>
      </c>
      <c r="D500" s="7" t="s">
        <v>3303</v>
      </c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6">
        <v>499.0</v>
      </c>
      <c r="B501" s="17" t="s">
        <v>2179</v>
      </c>
      <c r="C501" s="17" t="s">
        <v>499</v>
      </c>
      <c r="D501" s="7" t="s">
        <v>3304</v>
      </c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16">
        <v>500.0</v>
      </c>
      <c r="B502" s="17" t="s">
        <v>2182</v>
      </c>
      <c r="C502" s="17" t="s">
        <v>499</v>
      </c>
      <c r="D502" s="7" t="s">
        <v>3305</v>
      </c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6">
        <v>501.0</v>
      </c>
      <c r="B503" s="17" t="s">
        <v>5</v>
      </c>
      <c r="C503" s="17" t="s">
        <v>7</v>
      </c>
      <c r="D503" s="7" t="s">
        <v>3306</v>
      </c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16">
        <v>502.0</v>
      </c>
      <c r="B504" s="17" t="s">
        <v>2188</v>
      </c>
      <c r="C504" s="17" t="s">
        <v>7</v>
      </c>
      <c r="D504" s="7" t="s">
        <v>3307</v>
      </c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6">
        <v>503.0</v>
      </c>
      <c r="B505" s="17" t="s">
        <v>2190</v>
      </c>
      <c r="C505" s="17" t="s">
        <v>7</v>
      </c>
      <c r="D505" s="7" t="s">
        <v>3308</v>
      </c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16">
        <v>504.0</v>
      </c>
      <c r="B506" s="17" t="s">
        <v>2192</v>
      </c>
      <c r="C506" s="17" t="s">
        <v>7</v>
      </c>
      <c r="D506" s="7" t="s">
        <v>3309</v>
      </c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6">
        <v>505.0</v>
      </c>
      <c r="B507" s="17" t="s">
        <v>2196</v>
      </c>
      <c r="C507" s="17" t="s">
        <v>7</v>
      </c>
      <c r="D507" s="7" t="s">
        <v>3310</v>
      </c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16">
        <v>506.0</v>
      </c>
      <c r="B508" s="17" t="s">
        <v>2200</v>
      </c>
      <c r="C508" s="17" t="s">
        <v>7</v>
      </c>
      <c r="D508" s="7" t="s">
        <v>3311</v>
      </c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6">
        <v>507.0</v>
      </c>
      <c r="B509" s="17" t="s">
        <v>2204</v>
      </c>
      <c r="C509" s="17" t="s">
        <v>7</v>
      </c>
      <c r="D509" s="7" t="s">
        <v>3312</v>
      </c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16">
        <v>508.0</v>
      </c>
      <c r="B510" s="17" t="s">
        <v>2206</v>
      </c>
      <c r="C510" s="17" t="s">
        <v>1181</v>
      </c>
      <c r="D510" s="7" t="s">
        <v>3313</v>
      </c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6">
        <v>509.0</v>
      </c>
      <c r="B511" s="17" t="s">
        <v>2209</v>
      </c>
      <c r="C511" s="17" t="s">
        <v>1181</v>
      </c>
      <c r="D511" s="7" t="s">
        <v>3314</v>
      </c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16">
        <v>510.0</v>
      </c>
      <c r="B512" s="17" t="s">
        <v>2212</v>
      </c>
      <c r="C512" s="17" t="s">
        <v>1181</v>
      </c>
      <c r="D512" s="7" t="s">
        <v>3315</v>
      </c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6">
        <v>511.0</v>
      </c>
      <c r="B513" s="17" t="s">
        <v>2214</v>
      </c>
      <c r="C513" s="17" t="s">
        <v>1181</v>
      </c>
      <c r="D513" s="7" t="s">
        <v>3316</v>
      </c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16">
        <v>512.0</v>
      </c>
      <c r="B514" s="17" t="s">
        <v>2172</v>
      </c>
      <c r="C514" s="17" t="s">
        <v>1181</v>
      </c>
      <c r="D514" s="7" t="s">
        <v>3317</v>
      </c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6">
        <v>513.0</v>
      </c>
      <c r="B515" s="17" t="s">
        <v>2220</v>
      </c>
      <c r="C515" s="17" t="s">
        <v>2039</v>
      </c>
      <c r="D515" s="7" t="s">
        <v>3318</v>
      </c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16">
        <v>514.0</v>
      </c>
      <c r="B516" s="17" t="s">
        <v>2223</v>
      </c>
      <c r="C516" s="17" t="s">
        <v>2039</v>
      </c>
      <c r="D516" s="7" t="s">
        <v>3319</v>
      </c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6">
        <v>515.0</v>
      </c>
      <c r="B517" s="17" t="s">
        <v>2226</v>
      </c>
      <c r="C517" s="17" t="s">
        <v>2039</v>
      </c>
      <c r="D517" s="7" t="s">
        <v>3320</v>
      </c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6">
        <v>516.0</v>
      </c>
      <c r="B518" s="17" t="s">
        <v>2229</v>
      </c>
      <c r="C518" s="17" t="s">
        <v>2039</v>
      </c>
      <c r="D518" s="7" t="s">
        <v>3321</v>
      </c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6">
        <v>517.0</v>
      </c>
      <c r="B519" s="17" t="s">
        <v>2233</v>
      </c>
      <c r="C519" s="17" t="s">
        <v>2107</v>
      </c>
      <c r="D519" s="7" t="s">
        <v>3322</v>
      </c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6">
        <v>518.0</v>
      </c>
      <c r="B520" s="17" t="s">
        <v>2236</v>
      </c>
      <c r="C520" s="17" t="s">
        <v>2107</v>
      </c>
      <c r="D520" s="7" t="s">
        <v>3323</v>
      </c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6">
        <v>519.0</v>
      </c>
      <c r="B521" s="17" t="s">
        <v>2239</v>
      </c>
      <c r="C521" s="17" t="s">
        <v>2107</v>
      </c>
      <c r="D521" s="7" t="s">
        <v>3324</v>
      </c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6">
        <v>520.0</v>
      </c>
      <c r="B522" s="17" t="s">
        <v>2241</v>
      </c>
      <c r="C522" s="17" t="s">
        <v>2107</v>
      </c>
      <c r="D522" s="7" t="s">
        <v>3325</v>
      </c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6">
        <v>521.0</v>
      </c>
      <c r="B523" s="17" t="s">
        <v>2121</v>
      </c>
      <c r="C523" s="17" t="s">
        <v>2107</v>
      </c>
      <c r="D523" s="7" t="s">
        <v>3326</v>
      </c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6">
        <v>522.0</v>
      </c>
      <c r="B524" s="17" t="s">
        <v>2245</v>
      </c>
      <c r="C524" s="17" t="s">
        <v>1190</v>
      </c>
      <c r="D524" s="7" t="s">
        <v>3327</v>
      </c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6">
        <v>523.0</v>
      </c>
      <c r="B525" s="17" t="s">
        <v>2247</v>
      </c>
      <c r="C525" s="17" t="s">
        <v>1190</v>
      </c>
      <c r="D525" s="7" t="s">
        <v>3328</v>
      </c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6">
        <v>524.0</v>
      </c>
      <c r="B526" s="17" t="s">
        <v>2251</v>
      </c>
      <c r="C526" s="17" t="s">
        <v>1190</v>
      </c>
      <c r="D526" s="7" t="s">
        <v>3329</v>
      </c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6">
        <v>525.0</v>
      </c>
      <c r="B527" s="17" t="s">
        <v>2253</v>
      </c>
      <c r="C527" s="17" t="s">
        <v>1190</v>
      </c>
      <c r="D527" s="7" t="s">
        <v>3330</v>
      </c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6">
        <v>526.0</v>
      </c>
      <c r="B528" s="17" t="s">
        <v>2143</v>
      </c>
      <c r="C528" s="17" t="s">
        <v>1190</v>
      </c>
      <c r="D528" s="7" t="s">
        <v>3331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6">
        <v>527.0</v>
      </c>
      <c r="B529" s="17" t="s">
        <v>2255</v>
      </c>
      <c r="C529" s="17" t="s">
        <v>2006</v>
      </c>
      <c r="D529" s="7" t="s">
        <v>3332</v>
      </c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6">
        <v>528.0</v>
      </c>
      <c r="B530" s="17" t="s">
        <v>2259</v>
      </c>
      <c r="C530" s="17" t="s">
        <v>2006</v>
      </c>
      <c r="D530" s="7" t="s">
        <v>3333</v>
      </c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6">
        <v>529.0</v>
      </c>
      <c r="B531" s="17" t="s">
        <v>2027</v>
      </c>
      <c r="C531" s="17" t="s">
        <v>2006</v>
      </c>
      <c r="D531" s="7" t="s">
        <v>3334</v>
      </c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6">
        <v>530.0</v>
      </c>
      <c r="B532" s="17" t="s">
        <v>2263</v>
      </c>
      <c r="C532" s="17" t="s">
        <v>1199</v>
      </c>
      <c r="D532" s="7" t="s">
        <v>3335</v>
      </c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6">
        <v>531.0</v>
      </c>
      <c r="B533" s="17" t="s">
        <v>2266</v>
      </c>
      <c r="C533" s="17" t="s">
        <v>1199</v>
      </c>
      <c r="D533" s="7" t="s">
        <v>3336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6">
        <v>532.0</v>
      </c>
      <c r="B534" s="17" t="s">
        <v>2269</v>
      </c>
      <c r="C534" s="17" t="s">
        <v>1199</v>
      </c>
      <c r="D534" s="7" t="s">
        <v>3337</v>
      </c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6">
        <v>533.0</v>
      </c>
      <c r="B535" s="17" t="s">
        <v>2273</v>
      </c>
      <c r="C535" s="17" t="s">
        <v>1640</v>
      </c>
      <c r="D535" s="7" t="s">
        <v>3338</v>
      </c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6">
        <v>534.0</v>
      </c>
      <c r="B536" s="17" t="s">
        <v>2277</v>
      </c>
      <c r="C536" s="17" t="s">
        <v>1640</v>
      </c>
      <c r="D536" s="7" t="s">
        <v>3339</v>
      </c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6">
        <v>535.0</v>
      </c>
      <c r="B537" s="17" t="s">
        <v>2280</v>
      </c>
      <c r="C537" s="17" t="s">
        <v>1640</v>
      </c>
      <c r="D537" s="7" t="s">
        <v>3340</v>
      </c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6">
        <v>536.0</v>
      </c>
      <c r="B538" s="17" t="s">
        <v>2283</v>
      </c>
      <c r="C538" s="17" t="s">
        <v>1640</v>
      </c>
      <c r="D538" s="7" t="s">
        <v>3341</v>
      </c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6">
        <v>537.0</v>
      </c>
      <c r="B539" s="17" t="s">
        <v>2288</v>
      </c>
      <c r="C539" s="17" t="s">
        <v>1640</v>
      </c>
      <c r="D539" s="7" t="s">
        <v>3342</v>
      </c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6">
        <v>538.0</v>
      </c>
      <c r="B540" s="17" t="s">
        <v>2292</v>
      </c>
      <c r="C540" s="17" t="s">
        <v>1875</v>
      </c>
      <c r="D540" s="7" t="s">
        <v>3343</v>
      </c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6">
        <v>539.0</v>
      </c>
      <c r="B541" s="17" t="s">
        <v>2295</v>
      </c>
      <c r="C541" s="17" t="s">
        <v>1875</v>
      </c>
      <c r="D541" s="7" t="s">
        <v>3344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6">
        <v>540.0</v>
      </c>
      <c r="B542" s="17" t="s">
        <v>2298</v>
      </c>
      <c r="C542" s="17" t="s">
        <v>1875</v>
      </c>
      <c r="D542" s="7" t="s">
        <v>3345</v>
      </c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6">
        <v>541.0</v>
      </c>
      <c r="B543" s="17" t="s">
        <v>2302</v>
      </c>
      <c r="C543" s="17" t="s">
        <v>1875</v>
      </c>
      <c r="D543" s="7" t="s">
        <v>3346</v>
      </c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6">
        <v>542.0</v>
      </c>
      <c r="B544" s="17" t="s">
        <v>2305</v>
      </c>
      <c r="C544" s="17" t="s">
        <v>1208</v>
      </c>
      <c r="D544" s="7" t="s">
        <v>3347</v>
      </c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6">
        <v>543.0</v>
      </c>
      <c r="B545" s="17" t="s">
        <v>2309</v>
      </c>
      <c r="C545" s="17" t="s">
        <v>1208</v>
      </c>
      <c r="D545" s="7" t="s">
        <v>3348</v>
      </c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6">
        <v>544.0</v>
      </c>
      <c r="B546" s="17" t="s">
        <v>2316</v>
      </c>
      <c r="C546" s="17" t="s">
        <v>1208</v>
      </c>
      <c r="D546" s="7" t="s">
        <v>3349</v>
      </c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6">
        <v>545.0</v>
      </c>
      <c r="B547" s="17" t="s">
        <v>2319</v>
      </c>
      <c r="C547" s="17" t="s">
        <v>1208</v>
      </c>
      <c r="D547" s="7" t="s">
        <v>3350</v>
      </c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6">
        <v>546.0</v>
      </c>
      <c r="B548" s="17" t="s">
        <v>1931</v>
      </c>
      <c r="C548" s="17" t="s">
        <v>1208</v>
      </c>
      <c r="D548" s="7" t="s">
        <v>3351</v>
      </c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6">
        <v>547.0</v>
      </c>
      <c r="B549" s="17" t="s">
        <v>1949</v>
      </c>
      <c r="C549" s="17" t="s">
        <v>1208</v>
      </c>
      <c r="D549" s="7" t="s">
        <v>3352</v>
      </c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6">
        <v>548.0</v>
      </c>
      <c r="B550" s="17" t="s">
        <v>2014</v>
      </c>
      <c r="C550" s="17" t="s">
        <v>1208</v>
      </c>
      <c r="D550" s="7" t="s">
        <v>3353</v>
      </c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6">
        <v>549.0</v>
      </c>
      <c r="B551" s="17" t="s">
        <v>2329</v>
      </c>
      <c r="C551" s="17" t="s">
        <v>1217</v>
      </c>
      <c r="D551" s="7" t="s">
        <v>3354</v>
      </c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6">
        <v>550.0</v>
      </c>
      <c r="B552" s="17" t="s">
        <v>2332</v>
      </c>
      <c r="C552" s="17" t="s">
        <v>1217</v>
      </c>
      <c r="D552" s="7" t="s">
        <v>3355</v>
      </c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6">
        <v>551.0</v>
      </c>
      <c r="B553" s="17" t="s">
        <v>2336</v>
      </c>
      <c r="C553" s="17" t="s">
        <v>1217</v>
      </c>
      <c r="D553" s="7" t="s">
        <v>3356</v>
      </c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6">
        <v>552.0</v>
      </c>
      <c r="B554" s="17" t="s">
        <v>2340</v>
      </c>
      <c r="C554" s="17" t="s">
        <v>1217</v>
      </c>
      <c r="D554" s="7" t="s">
        <v>3357</v>
      </c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6">
        <v>553.0</v>
      </c>
      <c r="B555" s="17" t="s">
        <v>2344</v>
      </c>
      <c r="C555" s="17" t="s">
        <v>2345</v>
      </c>
      <c r="D555" s="7" t="s">
        <v>2343</v>
      </c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6">
        <v>554.0</v>
      </c>
      <c r="B556" s="17" t="s">
        <v>2349</v>
      </c>
      <c r="C556" s="17" t="s">
        <v>2345</v>
      </c>
      <c r="D556" s="7" t="s">
        <v>3358</v>
      </c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6">
        <v>555.0</v>
      </c>
      <c r="B557" s="17" t="s">
        <v>2352</v>
      </c>
      <c r="C557" s="17" t="s">
        <v>2345</v>
      </c>
      <c r="D557" s="7" t="s">
        <v>3359</v>
      </c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6">
        <v>556.0</v>
      </c>
      <c r="B558" s="17" t="s">
        <v>2354</v>
      </c>
      <c r="C558" s="17" t="s">
        <v>1233</v>
      </c>
      <c r="D558" s="7" t="s">
        <v>3360</v>
      </c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6">
        <v>557.0</v>
      </c>
      <c r="B559" s="17" t="s">
        <v>2357</v>
      </c>
      <c r="C559" s="17" t="s">
        <v>1233</v>
      </c>
      <c r="D559" s="7" t="s">
        <v>3361</v>
      </c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6">
        <v>558.0</v>
      </c>
      <c r="B560" s="17" t="s">
        <v>2361</v>
      </c>
      <c r="C560" s="17" t="s">
        <v>1233</v>
      </c>
      <c r="D560" s="7" t="s">
        <v>3362</v>
      </c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6">
        <v>559.0</v>
      </c>
      <c r="B561" s="17" t="s">
        <v>2364</v>
      </c>
      <c r="C561" s="17" t="s">
        <v>1233</v>
      </c>
      <c r="D561" s="7" t="s">
        <v>3363</v>
      </c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6">
        <v>560.0</v>
      </c>
      <c r="B562" s="17" t="s">
        <v>2367</v>
      </c>
      <c r="C562" s="17" t="s">
        <v>1233</v>
      </c>
      <c r="D562" s="7" t="s">
        <v>3364</v>
      </c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6">
        <v>561.0</v>
      </c>
      <c r="B563" s="17" t="s">
        <v>2444</v>
      </c>
      <c r="C563" s="17" t="s">
        <v>1233</v>
      </c>
      <c r="D563" s="7" t="s">
        <v>3365</v>
      </c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6">
        <v>562.0</v>
      </c>
      <c r="B564" s="17" t="s">
        <v>2448</v>
      </c>
      <c r="C564" s="17" t="s">
        <v>1248</v>
      </c>
      <c r="D564" s="7" t="s">
        <v>3366</v>
      </c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6">
        <v>563.0</v>
      </c>
      <c r="B565" s="17" t="s">
        <v>2453</v>
      </c>
      <c r="C565" s="17" t="s">
        <v>1248</v>
      </c>
      <c r="D565" s="7" t="s">
        <v>3367</v>
      </c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6">
        <v>564.0</v>
      </c>
      <c r="B566" s="17" t="s">
        <v>2455</v>
      </c>
      <c r="C566" s="17" t="s">
        <v>1248</v>
      </c>
      <c r="D566" s="7" t="s">
        <v>3368</v>
      </c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6">
        <v>565.0</v>
      </c>
      <c r="B567" s="17" t="s">
        <v>2459</v>
      </c>
      <c r="C567" s="17" t="s">
        <v>1248</v>
      </c>
      <c r="D567" s="7" t="s">
        <v>3369</v>
      </c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6">
        <v>566.0</v>
      </c>
      <c r="B568" s="17" t="s">
        <v>2463</v>
      </c>
      <c r="C568" s="17" t="s">
        <v>1310</v>
      </c>
      <c r="D568" s="7" t="s">
        <v>3370</v>
      </c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6">
        <v>567.0</v>
      </c>
      <c r="B569" s="17" t="s">
        <v>2466</v>
      </c>
      <c r="C569" s="17" t="s">
        <v>1310</v>
      </c>
      <c r="D569" s="7" t="s">
        <v>3371</v>
      </c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6">
        <v>568.0</v>
      </c>
      <c r="B570" s="17" t="s">
        <v>2469</v>
      </c>
      <c r="C570" s="17" t="s">
        <v>1310</v>
      </c>
      <c r="D570" s="7" t="s">
        <v>3372</v>
      </c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6">
        <v>569.0</v>
      </c>
      <c r="B571" s="17" t="s">
        <v>2473</v>
      </c>
      <c r="C571" s="17" t="s">
        <v>1310</v>
      </c>
      <c r="D571" s="7" t="s">
        <v>3373</v>
      </c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6">
        <v>570.0</v>
      </c>
      <c r="B572" s="17" t="s">
        <v>2477</v>
      </c>
      <c r="C572" s="17" t="s">
        <v>1348</v>
      </c>
      <c r="D572" s="7" t="s">
        <v>3374</v>
      </c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6">
        <v>571.0</v>
      </c>
      <c r="B573" s="17" t="s">
        <v>2480</v>
      </c>
      <c r="C573" s="17" t="s">
        <v>1348</v>
      </c>
      <c r="D573" s="7" t="s">
        <v>3375</v>
      </c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6">
        <v>572.0</v>
      </c>
      <c r="B574" s="17" t="s">
        <v>2482</v>
      </c>
      <c r="C574" s="17" t="s">
        <v>1348</v>
      </c>
      <c r="D574" s="7" t="s">
        <v>3376</v>
      </c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6">
        <v>573.0</v>
      </c>
      <c r="B575" s="17" t="s">
        <v>2486</v>
      </c>
      <c r="C575" s="17" t="s">
        <v>1348</v>
      </c>
      <c r="D575" s="7" t="s">
        <v>3377</v>
      </c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6">
        <v>574.0</v>
      </c>
      <c r="B576" s="17" t="s">
        <v>57</v>
      </c>
      <c r="C576" s="17" t="s">
        <v>58</v>
      </c>
      <c r="D576" s="7" t="s">
        <v>3378</v>
      </c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6">
        <v>575.0</v>
      </c>
      <c r="B577" s="17" t="s">
        <v>2488</v>
      </c>
      <c r="C577" s="17" t="s">
        <v>58</v>
      </c>
      <c r="D577" s="7" t="s">
        <v>1957</v>
      </c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6">
        <v>576.0</v>
      </c>
      <c r="B578" s="17" t="s">
        <v>2489</v>
      </c>
      <c r="C578" s="17" t="s">
        <v>58</v>
      </c>
      <c r="D578" s="7" t="s">
        <v>1266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6">
        <v>577.0</v>
      </c>
      <c r="B579" s="17" t="s">
        <v>2493</v>
      </c>
      <c r="C579" s="17" t="s">
        <v>58</v>
      </c>
      <c r="D579" s="7" t="s">
        <v>3379</v>
      </c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6">
        <v>578.0</v>
      </c>
      <c r="B580" s="17" t="s">
        <v>2496</v>
      </c>
      <c r="C580" s="17" t="s">
        <v>58</v>
      </c>
      <c r="D580" s="7" t="s">
        <v>3380</v>
      </c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6">
        <v>579.0</v>
      </c>
      <c r="B581" s="17" t="s">
        <v>2499</v>
      </c>
      <c r="C581" s="17" t="s">
        <v>58</v>
      </c>
      <c r="D581" s="7" t="s">
        <v>3210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6">
        <v>580.0</v>
      </c>
      <c r="B582" s="17" t="s">
        <v>2503</v>
      </c>
      <c r="C582" s="17" t="s">
        <v>58</v>
      </c>
      <c r="D582" s="7" t="s">
        <v>3381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6">
        <v>581.0</v>
      </c>
      <c r="B583" s="17" t="s">
        <v>1870</v>
      </c>
      <c r="C583" s="17" t="s">
        <v>58</v>
      </c>
      <c r="D583" s="7" t="s">
        <v>3382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6">
        <v>582.0</v>
      </c>
      <c r="B584" s="17" t="s">
        <v>2509</v>
      </c>
      <c r="C584" s="17" t="s">
        <v>1384</v>
      </c>
      <c r="D584" s="7" t="s">
        <v>3383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6">
        <v>583.0</v>
      </c>
      <c r="B585" s="17" t="s">
        <v>2512</v>
      </c>
      <c r="C585" s="17" t="s">
        <v>1384</v>
      </c>
      <c r="D585" s="7" t="s">
        <v>3384</v>
      </c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6">
        <v>584.0</v>
      </c>
      <c r="B586" s="17" t="s">
        <v>2515</v>
      </c>
      <c r="C586" s="17" t="s">
        <v>1384</v>
      </c>
      <c r="D586" s="7" t="s">
        <v>3022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6">
        <v>585.0</v>
      </c>
      <c r="B587" s="17" t="s">
        <v>2518</v>
      </c>
      <c r="C587" s="17" t="s">
        <v>1384</v>
      </c>
      <c r="D587" s="7" t="s">
        <v>3385</v>
      </c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6">
        <v>586.0</v>
      </c>
      <c r="B588" s="17" t="s">
        <v>2522</v>
      </c>
      <c r="C588" s="17" t="s">
        <v>1384</v>
      </c>
      <c r="D588" s="7" t="s">
        <v>3386</v>
      </c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6">
        <v>587.0</v>
      </c>
      <c r="B589" s="17" t="s">
        <v>2526</v>
      </c>
      <c r="C589" s="17" t="s">
        <v>1384</v>
      </c>
      <c r="D589" s="7" t="s">
        <v>3387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6">
        <v>588.0</v>
      </c>
      <c r="B590" s="17" t="s">
        <v>2529</v>
      </c>
      <c r="C590" s="17" t="s">
        <v>628</v>
      </c>
      <c r="D590" s="7" t="s">
        <v>3388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6">
        <v>589.0</v>
      </c>
      <c r="B591" s="17" t="s">
        <v>2532</v>
      </c>
      <c r="C591" s="17" t="s">
        <v>628</v>
      </c>
      <c r="D591" s="7" t="s">
        <v>3389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6">
        <v>590.0</v>
      </c>
      <c r="B592" s="17" t="s">
        <v>627</v>
      </c>
      <c r="C592" s="17" t="s">
        <v>628</v>
      </c>
      <c r="D592" s="7" t="s">
        <v>3390</v>
      </c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6">
        <v>591.0</v>
      </c>
      <c r="B593" s="17" t="s">
        <v>2537</v>
      </c>
      <c r="C593" s="17" t="s">
        <v>310</v>
      </c>
      <c r="D593" s="7" t="s">
        <v>3391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6">
        <v>592.0</v>
      </c>
      <c r="B594" s="17" t="s">
        <v>2539</v>
      </c>
      <c r="C594" s="17" t="s">
        <v>310</v>
      </c>
      <c r="D594" s="7" t="s">
        <v>3392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6">
        <v>593.0</v>
      </c>
      <c r="B595" s="17" t="s">
        <v>2543</v>
      </c>
      <c r="C595" s="17" t="s">
        <v>435</v>
      </c>
      <c r="D595" s="7" t="s">
        <v>3393</v>
      </c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6">
        <v>594.0</v>
      </c>
      <c r="B596" s="17" t="s">
        <v>2545</v>
      </c>
      <c r="C596" s="17" t="s">
        <v>338</v>
      </c>
      <c r="D596" s="7" t="s">
        <v>3394</v>
      </c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6">
        <v>595.0</v>
      </c>
      <c r="B597" s="17" t="s">
        <v>2548</v>
      </c>
      <c r="C597" s="17" t="s">
        <v>338</v>
      </c>
      <c r="D597" s="7" t="s">
        <v>3288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6">
        <v>596.0</v>
      </c>
      <c r="B598" s="17" t="s">
        <v>2552</v>
      </c>
      <c r="C598" s="17" t="s">
        <v>2553</v>
      </c>
      <c r="D598" s="7" t="s">
        <v>3395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6">
        <v>597.0</v>
      </c>
      <c r="B599" s="17" t="s">
        <v>2557</v>
      </c>
      <c r="C599" s="17" t="s">
        <v>2553</v>
      </c>
      <c r="D599" s="7" t="s">
        <v>3396</v>
      </c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6">
        <v>598.0</v>
      </c>
      <c r="B600" s="17" t="s">
        <v>2560</v>
      </c>
      <c r="C600" s="17" t="s">
        <v>1392</v>
      </c>
      <c r="D600" s="7" t="s">
        <v>3397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6">
        <v>599.0</v>
      </c>
      <c r="B601" s="17" t="s">
        <v>2563</v>
      </c>
      <c r="C601" s="17" t="s">
        <v>1392</v>
      </c>
      <c r="D601" s="7" t="s">
        <v>3398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6">
        <v>600.0</v>
      </c>
      <c r="B602" s="17" t="s">
        <v>2567</v>
      </c>
      <c r="C602" s="17" t="s">
        <v>1392</v>
      </c>
      <c r="D602" s="7" t="s">
        <v>3399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6">
        <v>601.0</v>
      </c>
      <c r="B603" s="17" t="s">
        <v>2572</v>
      </c>
      <c r="C603" s="17" t="s">
        <v>1392</v>
      </c>
      <c r="D603" s="7" t="s">
        <v>3400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6">
        <v>602.0</v>
      </c>
      <c r="B604" s="17" t="s">
        <v>2575</v>
      </c>
      <c r="C604" s="17" t="s">
        <v>1392</v>
      </c>
      <c r="D604" s="7" t="s">
        <v>2754</v>
      </c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6">
        <v>603.0</v>
      </c>
      <c r="B605" s="17" t="s">
        <v>2578</v>
      </c>
      <c r="C605" s="17" t="s">
        <v>2580</v>
      </c>
      <c r="D605" s="7" t="s">
        <v>3401</v>
      </c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6">
        <v>604.0</v>
      </c>
      <c r="B606" s="17" t="s">
        <v>2583</v>
      </c>
      <c r="C606" s="17" t="s">
        <v>2580</v>
      </c>
      <c r="D606" s="7" t="s">
        <v>3402</v>
      </c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6">
        <v>605.0</v>
      </c>
      <c r="B607" s="17" t="s">
        <v>2587</v>
      </c>
      <c r="C607" s="17" t="s">
        <v>2580</v>
      </c>
      <c r="D607" s="7" t="s">
        <v>3404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6">
        <v>606.0</v>
      </c>
      <c r="B608" s="17" t="s">
        <v>2590</v>
      </c>
      <c r="C608" s="17" t="s">
        <v>1283</v>
      </c>
      <c r="D608" s="7" t="s">
        <v>2589</v>
      </c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6">
        <v>607.0</v>
      </c>
      <c r="B609" s="17" t="s">
        <v>2593</v>
      </c>
      <c r="C609" s="17" t="s">
        <v>1283</v>
      </c>
      <c r="D609" s="7" t="s">
        <v>3405</v>
      </c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6">
        <v>608.0</v>
      </c>
      <c r="B610" s="17" t="s">
        <v>2597</v>
      </c>
      <c r="C610" s="17" t="s">
        <v>1283</v>
      </c>
      <c r="D610" s="7" t="s">
        <v>2596</v>
      </c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6">
        <v>609.0</v>
      </c>
      <c r="B611" s="17" t="s">
        <v>2601</v>
      </c>
      <c r="C611" s="17" t="s">
        <v>1283</v>
      </c>
      <c r="D611" s="7" t="s">
        <v>2600</v>
      </c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6">
        <v>610.0</v>
      </c>
      <c r="B612" s="17" t="s">
        <v>2605</v>
      </c>
      <c r="C612" s="17" t="s">
        <v>1410</v>
      </c>
      <c r="D612" s="7" t="s">
        <v>3406</v>
      </c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6">
        <v>611.0</v>
      </c>
      <c r="B613" s="17" t="s">
        <v>2608</v>
      </c>
      <c r="C613" s="17" t="s">
        <v>1410</v>
      </c>
      <c r="D613" s="7" t="s">
        <v>3407</v>
      </c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6">
        <v>612.0</v>
      </c>
      <c r="B614" s="17" t="s">
        <v>2611</v>
      </c>
      <c r="C614" s="17" t="s">
        <v>1410</v>
      </c>
      <c r="D614" s="7" t="s">
        <v>3408</v>
      </c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6">
        <v>613.0</v>
      </c>
      <c r="B615" s="17" t="s">
        <v>2615</v>
      </c>
      <c r="C615" s="17" t="s">
        <v>1410</v>
      </c>
      <c r="D615" s="7" t="s">
        <v>3409</v>
      </c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6">
        <v>614.0</v>
      </c>
      <c r="B616" s="17" t="s">
        <v>2618</v>
      </c>
      <c r="C616" s="17" t="s">
        <v>1410</v>
      </c>
      <c r="D616" s="7" t="s">
        <v>3410</v>
      </c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6">
        <v>615.0</v>
      </c>
      <c r="B617" s="17" t="s">
        <v>2621</v>
      </c>
      <c r="C617" s="17" t="s">
        <v>1410</v>
      </c>
      <c r="D617" s="7" t="s">
        <v>3411</v>
      </c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6">
        <v>616.0</v>
      </c>
      <c r="B618" s="17" t="s">
        <v>2624</v>
      </c>
      <c r="C618" s="17" t="s">
        <v>1410</v>
      </c>
      <c r="D618" s="7" t="s">
        <v>3412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6">
        <v>617.0</v>
      </c>
      <c r="B619" s="17" t="s">
        <v>2627</v>
      </c>
      <c r="C619" s="17" t="s">
        <v>1410</v>
      </c>
      <c r="D619" s="7" t="s">
        <v>3413</v>
      </c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6">
        <v>618.0</v>
      </c>
      <c r="B620" s="17" t="s">
        <v>2631</v>
      </c>
      <c r="C620" s="17" t="s">
        <v>457</v>
      </c>
      <c r="D620" s="7" t="s">
        <v>3414</v>
      </c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6">
        <v>619.0</v>
      </c>
      <c r="B621" s="17" t="s">
        <v>2635</v>
      </c>
      <c r="C621" s="17" t="s">
        <v>457</v>
      </c>
      <c r="D621" s="7" t="s">
        <v>3415</v>
      </c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6">
        <v>620.0</v>
      </c>
      <c r="B622" s="17" t="s">
        <v>2639</v>
      </c>
      <c r="C622" s="17" t="s">
        <v>743</v>
      </c>
      <c r="D622" s="7" t="s">
        <v>3416</v>
      </c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6">
        <v>621.0</v>
      </c>
      <c r="B623" s="17" t="s">
        <v>742</v>
      </c>
      <c r="C623" s="17" t="s">
        <v>743</v>
      </c>
      <c r="D623" s="7" t="s">
        <v>3417</v>
      </c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6">
        <v>622.0</v>
      </c>
      <c r="B624" s="17" t="s">
        <v>2643</v>
      </c>
      <c r="C624" s="17" t="s">
        <v>1419</v>
      </c>
      <c r="D624" s="7" t="s">
        <v>3418</v>
      </c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6">
        <v>623.0</v>
      </c>
      <c r="B625" s="17" t="s">
        <v>2647</v>
      </c>
      <c r="C625" s="17" t="s">
        <v>1407</v>
      </c>
      <c r="D625" s="7" t="s">
        <v>3419</v>
      </c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6">
        <v>624.0</v>
      </c>
      <c r="B626" s="17" t="s">
        <v>2650</v>
      </c>
      <c r="C626" s="17" t="s">
        <v>1407</v>
      </c>
      <c r="D626" s="7" t="s">
        <v>3420</v>
      </c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6">
        <v>625.0</v>
      </c>
      <c r="B627" s="17" t="s">
        <v>2653</v>
      </c>
      <c r="C627" s="17" t="s">
        <v>1407</v>
      </c>
      <c r="D627" s="7" t="s">
        <v>3421</v>
      </c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6">
        <v>626.0</v>
      </c>
      <c r="B628" s="17" t="s">
        <v>2657</v>
      </c>
      <c r="C628" s="17" t="s">
        <v>1407</v>
      </c>
      <c r="D628" s="7" t="s">
        <v>3422</v>
      </c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6">
        <v>627.0</v>
      </c>
      <c r="B629" s="17" t="s">
        <v>2660</v>
      </c>
      <c r="C629" s="17" t="s">
        <v>1407</v>
      </c>
      <c r="D629" s="7" t="s">
        <v>3423</v>
      </c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6">
        <v>628.0</v>
      </c>
      <c r="B630" s="17" t="s">
        <v>2663</v>
      </c>
      <c r="C630" s="17" t="s">
        <v>1407</v>
      </c>
      <c r="D630" s="7" t="s">
        <v>3424</v>
      </c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6">
        <v>629.0</v>
      </c>
      <c r="B631" s="17" t="s">
        <v>1415</v>
      </c>
      <c r="C631" s="17" t="s">
        <v>1407</v>
      </c>
      <c r="D631" s="7" t="s">
        <v>3425</v>
      </c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6">
        <v>630.0</v>
      </c>
      <c r="B632" s="17" t="s">
        <v>2673</v>
      </c>
      <c r="C632" s="17" t="s">
        <v>1435</v>
      </c>
      <c r="D632" s="7" t="s">
        <v>3426</v>
      </c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6">
        <v>631.0</v>
      </c>
      <c r="B633" s="17" t="s">
        <v>2676</v>
      </c>
      <c r="C633" s="17" t="s">
        <v>1435</v>
      </c>
      <c r="D633" s="7" t="s">
        <v>3427</v>
      </c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6">
        <v>632.0</v>
      </c>
      <c r="B634" s="17" t="s">
        <v>2679</v>
      </c>
      <c r="C634" s="17" t="s">
        <v>1435</v>
      </c>
      <c r="D634" s="7" t="s">
        <v>3428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6">
        <v>633.0</v>
      </c>
      <c r="B635" s="17" t="s">
        <v>2683</v>
      </c>
      <c r="C635" s="17" t="s">
        <v>1782</v>
      </c>
      <c r="D635" s="7" t="s">
        <v>3429</v>
      </c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6">
        <v>634.0</v>
      </c>
      <c r="B636" s="17" t="s">
        <v>2686</v>
      </c>
      <c r="C636" s="17" t="s">
        <v>1782</v>
      </c>
      <c r="D636" s="7" t="s">
        <v>3430</v>
      </c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6">
        <v>635.0</v>
      </c>
      <c r="B637" s="17" t="s">
        <v>2689</v>
      </c>
      <c r="C637" s="17" t="s">
        <v>63</v>
      </c>
      <c r="D637" s="7" t="s">
        <v>3431</v>
      </c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6">
        <v>636.0</v>
      </c>
      <c r="B638" s="17" t="s">
        <v>2693</v>
      </c>
      <c r="C638" s="17" t="s">
        <v>63</v>
      </c>
      <c r="D638" s="7" t="s">
        <v>3432</v>
      </c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6">
        <v>637.0</v>
      </c>
      <c r="B639" s="17" t="s">
        <v>2697</v>
      </c>
      <c r="C639" s="17" t="s">
        <v>63</v>
      </c>
      <c r="D639" s="7" t="s">
        <v>3433</v>
      </c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6">
        <v>638.0</v>
      </c>
      <c r="B640" s="17" t="s">
        <v>2699</v>
      </c>
      <c r="C640" s="17" t="s">
        <v>1635</v>
      </c>
      <c r="D640" s="7" t="s">
        <v>3428</v>
      </c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6">
        <v>639.0</v>
      </c>
      <c r="B641" s="17" t="s">
        <v>2703</v>
      </c>
      <c r="C641" s="17" t="s">
        <v>1635</v>
      </c>
      <c r="D641" s="7" t="s">
        <v>3434</v>
      </c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6">
        <v>640.0</v>
      </c>
      <c r="B642" s="17" t="s">
        <v>2707</v>
      </c>
      <c r="C642" s="17" t="s">
        <v>1635</v>
      </c>
      <c r="D642" s="7" t="s">
        <v>3435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6">
        <v>641.0</v>
      </c>
      <c r="B643" s="17" t="s">
        <v>2709</v>
      </c>
      <c r="C643" s="17" t="s">
        <v>1635</v>
      </c>
      <c r="D643" s="7" t="s">
        <v>3436</v>
      </c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6">
        <v>642.0</v>
      </c>
      <c r="B644" s="17" t="s">
        <v>2714</v>
      </c>
      <c r="C644" s="17" t="s">
        <v>1445</v>
      </c>
      <c r="D644" s="7" t="s">
        <v>3437</v>
      </c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6">
        <v>643.0</v>
      </c>
      <c r="B645" s="17" t="s">
        <v>2717</v>
      </c>
      <c r="C645" s="17" t="s">
        <v>1445</v>
      </c>
      <c r="D645" s="7" t="s">
        <v>3438</v>
      </c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6">
        <v>644.0</v>
      </c>
      <c r="B646" s="17" t="s">
        <v>2720</v>
      </c>
      <c r="C646" s="17" t="s">
        <v>1445</v>
      </c>
      <c r="D646" s="7" t="s">
        <v>3439</v>
      </c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6">
        <v>645.0</v>
      </c>
      <c r="B647" s="17" t="s">
        <v>2724</v>
      </c>
      <c r="C647" s="17" t="s">
        <v>1445</v>
      </c>
      <c r="D647" s="7" t="s">
        <v>3440</v>
      </c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6">
        <v>646.0</v>
      </c>
      <c r="B648" s="17" t="s">
        <v>2727</v>
      </c>
      <c r="C648" s="17" t="s">
        <v>2571</v>
      </c>
      <c r="D648" s="7" t="s">
        <v>3441</v>
      </c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6">
        <v>647.0</v>
      </c>
      <c r="B649" s="17" t="s">
        <v>2730</v>
      </c>
      <c r="C649" s="17" t="s">
        <v>1709</v>
      </c>
      <c r="D649" s="7" t="s">
        <v>3442</v>
      </c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6">
        <v>648.0</v>
      </c>
      <c r="B650" s="17" t="s">
        <v>2732</v>
      </c>
      <c r="C650" s="17" t="s">
        <v>1709</v>
      </c>
      <c r="D650" s="7" t="s">
        <v>2487</v>
      </c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6">
        <v>649.0</v>
      </c>
      <c r="B651" s="17" t="s">
        <v>2735</v>
      </c>
      <c r="C651" s="17" t="s">
        <v>1709</v>
      </c>
      <c r="D651" s="7" t="s">
        <v>3213</v>
      </c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6">
        <v>650.0</v>
      </c>
      <c r="B652" s="17" t="s">
        <v>1456</v>
      </c>
      <c r="C652" s="17" t="s">
        <v>1452</v>
      </c>
      <c r="D652" s="7" t="s">
        <v>3443</v>
      </c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6">
        <v>651.0</v>
      </c>
      <c r="B653" s="17" t="s">
        <v>2738</v>
      </c>
      <c r="C653" s="17" t="s">
        <v>1452</v>
      </c>
      <c r="D653" s="7" t="s">
        <v>3444</v>
      </c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6">
        <v>652.0</v>
      </c>
      <c r="B654" s="17" t="s">
        <v>2740</v>
      </c>
      <c r="C654" s="17" t="s">
        <v>1452</v>
      </c>
      <c r="D654" s="7" t="s">
        <v>3445</v>
      </c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6">
        <v>653.0</v>
      </c>
      <c r="B655" s="17" t="s">
        <v>2744</v>
      </c>
      <c r="C655" s="17" t="s">
        <v>1452</v>
      </c>
      <c r="D655" s="7" t="s">
        <v>3446</v>
      </c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6">
        <v>654.0</v>
      </c>
      <c r="B656" s="17" t="s">
        <v>2747</v>
      </c>
      <c r="C656" s="17" t="s">
        <v>1452</v>
      </c>
      <c r="D656" s="7" t="s">
        <v>3447</v>
      </c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6">
        <v>655.0</v>
      </c>
      <c r="B657" s="17" t="s">
        <v>2749</v>
      </c>
      <c r="C657" s="17" t="s">
        <v>1452</v>
      </c>
      <c r="D657" s="7" t="s">
        <v>3448</v>
      </c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6">
        <v>656.0</v>
      </c>
      <c r="B658" s="17" t="s">
        <v>2753</v>
      </c>
      <c r="C658" s="17" t="s">
        <v>784</v>
      </c>
      <c r="D658" s="7" t="s">
        <v>3449</v>
      </c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6">
        <v>657.0</v>
      </c>
      <c r="B659" s="17" t="s">
        <v>2756</v>
      </c>
      <c r="C659" s="17" t="s">
        <v>1819</v>
      </c>
      <c r="D659" s="7" t="s">
        <v>3450</v>
      </c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6">
        <v>658.0</v>
      </c>
      <c r="B660" s="17" t="s">
        <v>2758</v>
      </c>
      <c r="C660" s="17" t="s">
        <v>1819</v>
      </c>
      <c r="D660" s="7" t="s">
        <v>3451</v>
      </c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6">
        <v>659.0</v>
      </c>
      <c r="B661" s="17" t="s">
        <v>2760</v>
      </c>
      <c r="C661" s="17" t="s">
        <v>1538</v>
      </c>
      <c r="D661" s="7" t="s">
        <v>3452</v>
      </c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6">
        <v>660.0</v>
      </c>
      <c r="B662" s="17" t="s">
        <v>2764</v>
      </c>
      <c r="C662" s="17" t="s">
        <v>1538</v>
      </c>
      <c r="D662" s="7" t="s">
        <v>3453</v>
      </c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6">
        <v>661.0</v>
      </c>
      <c r="B663" s="17" t="s">
        <v>2767</v>
      </c>
      <c r="C663" s="17" t="s">
        <v>1538</v>
      </c>
      <c r="D663" s="7" t="s">
        <v>3454</v>
      </c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6">
        <v>662.0</v>
      </c>
      <c r="B664" s="17" t="s">
        <v>1542</v>
      </c>
      <c r="C664" s="17" t="s">
        <v>1538</v>
      </c>
      <c r="D664" s="7" t="s">
        <v>3455</v>
      </c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6">
        <v>663.0</v>
      </c>
      <c r="B665" s="17" t="s">
        <v>2773</v>
      </c>
      <c r="C665" s="17" t="s">
        <v>32</v>
      </c>
      <c r="D665" s="7" t="s">
        <v>3456</v>
      </c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6">
        <v>664.0</v>
      </c>
      <c r="B666" s="17" t="s">
        <v>2775</v>
      </c>
      <c r="C666" s="17" t="s">
        <v>32</v>
      </c>
      <c r="D666" s="7" t="s">
        <v>3457</v>
      </c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6">
        <v>665.0</v>
      </c>
      <c r="B667" s="17" t="s">
        <v>2778</v>
      </c>
      <c r="C667" s="17" t="s">
        <v>32</v>
      </c>
      <c r="D667" s="7" t="s">
        <v>3458</v>
      </c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6">
        <v>666.0</v>
      </c>
      <c r="B668" s="17" t="s">
        <v>2781</v>
      </c>
      <c r="C668" s="17" t="s">
        <v>809</v>
      </c>
      <c r="D668" s="7" t="s">
        <v>3459</v>
      </c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6">
        <v>667.0</v>
      </c>
      <c r="B669" s="17" t="s">
        <v>2784</v>
      </c>
      <c r="C669" s="17" t="s">
        <v>2547</v>
      </c>
      <c r="D669" s="7" t="s">
        <v>3460</v>
      </c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6">
        <v>668.0</v>
      </c>
      <c r="B670" s="17" t="s">
        <v>2789</v>
      </c>
      <c r="C670" s="17" t="s">
        <v>2547</v>
      </c>
      <c r="D670" s="7" t="s">
        <v>3461</v>
      </c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6">
        <v>669.0</v>
      </c>
      <c r="B671" s="17" t="s">
        <v>2791</v>
      </c>
      <c r="C671" s="17" t="s">
        <v>2547</v>
      </c>
      <c r="D671" s="7" t="s">
        <v>3462</v>
      </c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6">
        <v>670.0</v>
      </c>
      <c r="B672" s="17" t="s">
        <v>2793</v>
      </c>
      <c r="C672" s="17" t="s">
        <v>2547</v>
      </c>
      <c r="D672" s="7" t="s">
        <v>3454</v>
      </c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6">
        <v>671.0</v>
      </c>
      <c r="B673" s="17" t="s">
        <v>2795</v>
      </c>
      <c r="C673" s="17" t="s">
        <v>1479</v>
      </c>
      <c r="D673" s="7" t="s">
        <v>3463</v>
      </c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6">
        <v>672.0</v>
      </c>
      <c r="B674" s="17" t="s">
        <v>2799</v>
      </c>
      <c r="C674" s="17" t="s">
        <v>1479</v>
      </c>
      <c r="D674" s="7" t="s">
        <v>3464</v>
      </c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6">
        <v>673.0</v>
      </c>
      <c r="B675" s="17" t="s">
        <v>2802</v>
      </c>
      <c r="C675" s="17" t="s">
        <v>1479</v>
      </c>
      <c r="D675" s="7" t="s">
        <v>3465</v>
      </c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6">
        <v>674.0</v>
      </c>
      <c r="B676" s="17" t="s">
        <v>2805</v>
      </c>
      <c r="C676" s="17" t="s">
        <v>1479</v>
      </c>
      <c r="D676" s="7" t="s">
        <v>3466</v>
      </c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6">
        <v>675.0</v>
      </c>
      <c r="B677" s="30" t="s">
        <v>261</v>
      </c>
      <c r="C677" s="7" t="s">
        <v>31</v>
      </c>
      <c r="D677" s="7" t="s">
        <v>3467</v>
      </c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6">
        <v>676.0</v>
      </c>
      <c r="B678" s="30" t="s">
        <v>279</v>
      </c>
      <c r="C678" s="7" t="s">
        <v>31</v>
      </c>
      <c r="D678" s="7" t="s">
        <v>3468</v>
      </c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6">
        <v>677.0</v>
      </c>
      <c r="B679" s="31" t="s">
        <v>290</v>
      </c>
      <c r="C679" s="32" t="s">
        <v>31</v>
      </c>
      <c r="D679" s="7" t="s">
        <v>3469</v>
      </c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6">
        <v>678.0</v>
      </c>
      <c r="B680" s="30" t="s">
        <v>304</v>
      </c>
      <c r="C680" s="7" t="s">
        <v>73</v>
      </c>
      <c r="D680" s="7" t="s">
        <v>3470</v>
      </c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6">
        <v>679.0</v>
      </c>
      <c r="B681" s="31" t="s">
        <v>317</v>
      </c>
      <c r="C681" s="32" t="s">
        <v>73</v>
      </c>
      <c r="D681" s="7" t="s">
        <v>315</v>
      </c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6">
        <v>680.0</v>
      </c>
      <c r="B682" s="30" t="s">
        <v>333</v>
      </c>
      <c r="C682" s="7" t="s">
        <v>17</v>
      </c>
      <c r="D682" s="7" t="s">
        <v>3471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6">
        <v>681.0</v>
      </c>
      <c r="B683" s="30" t="s">
        <v>26</v>
      </c>
      <c r="C683" s="7" t="s">
        <v>17</v>
      </c>
      <c r="D683" s="7" t="s">
        <v>3472</v>
      </c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6">
        <v>682.0</v>
      </c>
      <c r="B684" s="30" t="s">
        <v>353</v>
      </c>
      <c r="C684" s="7" t="s">
        <v>13</v>
      </c>
      <c r="D684" s="7" t="s">
        <v>3473</v>
      </c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6">
        <v>683.0</v>
      </c>
      <c r="B685" s="30" t="s">
        <v>361</v>
      </c>
      <c r="C685" s="7" t="s">
        <v>13</v>
      </c>
      <c r="D685" s="7" t="s">
        <v>3474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6">
        <v>684.0</v>
      </c>
      <c r="B686" s="30" t="s">
        <v>368</v>
      </c>
      <c r="C686" s="7" t="s">
        <v>13</v>
      </c>
      <c r="D686" s="7" t="s">
        <v>3475</v>
      </c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6">
        <v>685.0</v>
      </c>
      <c r="B687" s="30" t="s">
        <v>376</v>
      </c>
      <c r="C687" s="7" t="s">
        <v>13</v>
      </c>
      <c r="D687" s="7" t="s">
        <v>3476</v>
      </c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6">
        <v>686.0</v>
      </c>
      <c r="B688" s="30" t="s">
        <v>382</v>
      </c>
      <c r="C688" s="7" t="s">
        <v>13</v>
      </c>
      <c r="D688" s="7" t="s">
        <v>3477</v>
      </c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6">
        <v>687.0</v>
      </c>
      <c r="B689" s="30" t="s">
        <v>390</v>
      </c>
      <c r="C689" s="7" t="s">
        <v>13</v>
      </c>
      <c r="D689" s="7" t="s">
        <v>3478</v>
      </c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6">
        <v>688.0</v>
      </c>
      <c r="B690" s="30" t="s">
        <v>398</v>
      </c>
      <c r="C690" s="7" t="s">
        <v>13</v>
      </c>
      <c r="D690" s="7" t="s">
        <v>3479</v>
      </c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6">
        <v>689.0</v>
      </c>
      <c r="B691" s="30" t="s">
        <v>405</v>
      </c>
      <c r="C691" s="7" t="s">
        <v>13</v>
      </c>
      <c r="D691" s="7" t="s">
        <v>3480</v>
      </c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6">
        <v>690.0</v>
      </c>
      <c r="B692" s="30" t="s">
        <v>411</v>
      </c>
      <c r="C692" s="7" t="s">
        <v>13</v>
      </c>
      <c r="D692" s="7" t="s">
        <v>3481</v>
      </c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6">
        <v>691.0</v>
      </c>
      <c r="B693" s="31" t="s">
        <v>436</v>
      </c>
      <c r="C693" s="32" t="s">
        <v>13</v>
      </c>
      <c r="D693" s="7" t="s">
        <v>433</v>
      </c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6">
        <v>692.0</v>
      </c>
      <c r="B694" s="31" t="s">
        <v>450</v>
      </c>
      <c r="C694" s="32" t="s">
        <v>13</v>
      </c>
      <c r="D694" s="7" t="s">
        <v>3482</v>
      </c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6">
        <v>693.0</v>
      </c>
      <c r="B695" s="31" t="s">
        <v>467</v>
      </c>
      <c r="C695" s="32" t="s">
        <v>13</v>
      </c>
      <c r="D695" s="7" t="s">
        <v>3483</v>
      </c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6">
        <v>694.0</v>
      </c>
      <c r="B696" s="30" t="s">
        <v>477</v>
      </c>
      <c r="C696" s="7" t="s">
        <v>231</v>
      </c>
      <c r="D696" s="7" t="s">
        <v>3484</v>
      </c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6">
        <v>695.0</v>
      </c>
      <c r="B697" s="31" t="s">
        <v>485</v>
      </c>
      <c r="C697" s="32" t="s">
        <v>100</v>
      </c>
      <c r="D697" s="7" t="s">
        <v>3485</v>
      </c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6">
        <v>696.0</v>
      </c>
      <c r="B698" s="31" t="s">
        <v>495</v>
      </c>
      <c r="C698" s="32" t="s">
        <v>100</v>
      </c>
      <c r="D698" s="7" t="s">
        <v>492</v>
      </c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6">
        <v>697.0</v>
      </c>
      <c r="B699" s="30" t="s">
        <v>505</v>
      </c>
      <c r="C699" s="7" t="s">
        <v>283</v>
      </c>
      <c r="D699" s="7" t="s">
        <v>3486</v>
      </c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6">
        <v>698.0</v>
      </c>
      <c r="B700" s="30" t="s">
        <v>44</v>
      </c>
      <c r="C700" s="7" t="s">
        <v>45</v>
      </c>
      <c r="D700" s="7" t="s">
        <v>3487</v>
      </c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6">
        <v>699.0</v>
      </c>
      <c r="B701" s="30" t="s">
        <v>523</v>
      </c>
      <c r="C701" s="7" t="s">
        <v>320</v>
      </c>
      <c r="D701" s="7" t="s">
        <v>3488</v>
      </c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6">
        <v>700.0</v>
      </c>
      <c r="B702" s="31" t="s">
        <v>530</v>
      </c>
      <c r="C702" s="32" t="s">
        <v>342</v>
      </c>
      <c r="D702" s="7" t="s">
        <v>3489</v>
      </c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6">
        <v>701.0</v>
      </c>
      <c r="B703" s="30" t="s">
        <v>540</v>
      </c>
      <c r="C703" s="7" t="s">
        <v>24</v>
      </c>
      <c r="D703" s="7" t="s">
        <v>3490</v>
      </c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6">
        <v>702.0</v>
      </c>
      <c r="B704" s="31" t="s">
        <v>559</v>
      </c>
      <c r="C704" s="32" t="s">
        <v>24</v>
      </c>
      <c r="D704" s="7" t="s">
        <v>3491</v>
      </c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6">
        <v>703.0</v>
      </c>
      <c r="B705" s="31" t="s">
        <v>563</v>
      </c>
      <c r="C705" s="32" t="s">
        <v>24</v>
      </c>
      <c r="D705" s="7" t="s">
        <v>3492</v>
      </c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6">
        <v>704.0</v>
      </c>
      <c r="B706" s="31" t="s">
        <v>567</v>
      </c>
      <c r="C706" s="32" t="s">
        <v>24</v>
      </c>
      <c r="D706" s="7" t="s">
        <v>3493</v>
      </c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6">
        <v>705.0</v>
      </c>
      <c r="B707" s="31" t="s">
        <v>573</v>
      </c>
      <c r="C707" s="32" t="s">
        <v>24</v>
      </c>
      <c r="D707" s="7" t="s">
        <v>3494</v>
      </c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6">
        <v>706.0</v>
      </c>
      <c r="B708" s="30" t="s">
        <v>579</v>
      </c>
      <c r="C708" s="7" t="s">
        <v>238</v>
      </c>
      <c r="D708" s="7" t="s">
        <v>3495</v>
      </c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6">
        <v>707.0</v>
      </c>
      <c r="B709" s="30" t="s">
        <v>584</v>
      </c>
      <c r="C709" s="7" t="s">
        <v>238</v>
      </c>
      <c r="D709" s="7" t="s">
        <v>3496</v>
      </c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6">
        <v>708.0</v>
      </c>
      <c r="B710" s="31" t="s">
        <v>590</v>
      </c>
      <c r="C710" s="32" t="s">
        <v>238</v>
      </c>
      <c r="D710" s="7" t="s">
        <v>588</v>
      </c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6">
        <v>709.0</v>
      </c>
      <c r="B711" s="30" t="s">
        <v>597</v>
      </c>
      <c r="C711" s="7" t="s">
        <v>460</v>
      </c>
      <c r="D711" s="7" t="s">
        <v>3497</v>
      </c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6">
        <v>710.0</v>
      </c>
      <c r="B712" s="30" t="s">
        <v>602</v>
      </c>
      <c r="C712" s="7" t="s">
        <v>475</v>
      </c>
      <c r="D712" s="7" t="s">
        <v>3498</v>
      </c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6">
        <v>711.0</v>
      </c>
      <c r="B713" s="31" t="s">
        <v>606</v>
      </c>
      <c r="C713" s="32" t="s">
        <v>475</v>
      </c>
      <c r="D713" s="7" t="s">
        <v>605</v>
      </c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6">
        <v>712.0</v>
      </c>
      <c r="B714" s="31" t="s">
        <v>610</v>
      </c>
      <c r="C714" s="32" t="s">
        <v>475</v>
      </c>
      <c r="D714" s="7" t="s">
        <v>3499</v>
      </c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6">
        <v>713.0</v>
      </c>
      <c r="B715" s="30" t="s">
        <v>615</v>
      </c>
      <c r="C715" s="7" t="s">
        <v>550</v>
      </c>
      <c r="D715" s="7" t="s">
        <v>3500</v>
      </c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6">
        <v>714.0</v>
      </c>
      <c r="B716" s="31" t="s">
        <v>624</v>
      </c>
      <c r="C716" s="32" t="s">
        <v>550</v>
      </c>
      <c r="D716" s="7" t="s">
        <v>622</v>
      </c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6">
        <v>715.0</v>
      </c>
      <c r="B717" s="30" t="s">
        <v>633</v>
      </c>
      <c r="C717" s="7" t="s">
        <v>619</v>
      </c>
      <c r="D717" s="7" t="s">
        <v>3501</v>
      </c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6">
        <v>716.0</v>
      </c>
      <c r="B718" s="30" t="s">
        <v>639</v>
      </c>
      <c r="C718" s="7" t="s">
        <v>642</v>
      </c>
      <c r="D718" s="7" t="s">
        <v>3502</v>
      </c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6">
        <v>717.0</v>
      </c>
      <c r="B719" s="30" t="s">
        <v>649</v>
      </c>
      <c r="C719" s="7" t="s">
        <v>652</v>
      </c>
      <c r="D719" s="7" t="s">
        <v>3503</v>
      </c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6">
        <v>718.0</v>
      </c>
      <c r="B720" s="30" t="s">
        <v>658</v>
      </c>
      <c r="C720" s="7" t="s">
        <v>663</v>
      </c>
      <c r="D720" s="7" t="s">
        <v>3504</v>
      </c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6">
        <v>719.0</v>
      </c>
      <c r="B721" s="31" t="s">
        <v>669</v>
      </c>
      <c r="C721" s="32" t="s">
        <v>663</v>
      </c>
      <c r="D721" s="7" t="s">
        <v>666</v>
      </c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6">
        <v>720.0</v>
      </c>
      <c r="B722" s="30" t="s">
        <v>676</v>
      </c>
      <c r="C722" s="7" t="s">
        <v>679</v>
      </c>
      <c r="D722" s="7" t="s">
        <v>3505</v>
      </c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6">
        <v>721.0</v>
      </c>
      <c r="B723" s="30" t="s">
        <v>686</v>
      </c>
      <c r="C723" s="7" t="s">
        <v>509</v>
      </c>
      <c r="D723" s="7" t="s">
        <v>3506</v>
      </c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6">
        <v>722.0</v>
      </c>
      <c r="B724" s="30" t="s">
        <v>694</v>
      </c>
      <c r="C724" s="7" t="s">
        <v>695</v>
      </c>
      <c r="D724" s="7" t="s">
        <v>3507</v>
      </c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6">
        <v>723.0</v>
      </c>
      <c r="B725" s="30" t="s">
        <v>701</v>
      </c>
      <c r="C725" s="7" t="s">
        <v>703</v>
      </c>
      <c r="D725" s="7" t="s">
        <v>3508</v>
      </c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6">
        <v>724.0</v>
      </c>
      <c r="B726" s="31" t="s">
        <v>708</v>
      </c>
      <c r="C726" s="32" t="s">
        <v>703</v>
      </c>
      <c r="D726" s="7" t="s">
        <v>707</v>
      </c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6">
        <v>725.0</v>
      </c>
      <c r="B727" s="30" t="s">
        <v>714</v>
      </c>
      <c r="C727" s="7" t="s">
        <v>716</v>
      </c>
      <c r="D727" s="7" t="s">
        <v>3509</v>
      </c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6">
        <v>726.0</v>
      </c>
      <c r="B728" s="31" t="s">
        <v>720</v>
      </c>
      <c r="C728" s="32" t="s">
        <v>716</v>
      </c>
      <c r="D728" s="7" t="s">
        <v>719</v>
      </c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6">
        <v>727.0</v>
      </c>
      <c r="B729" s="30" t="s">
        <v>727</v>
      </c>
      <c r="C729" s="7" t="s">
        <v>729</v>
      </c>
      <c r="D729" s="7" t="s">
        <v>3510</v>
      </c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6">
        <v>728.0</v>
      </c>
      <c r="B730" s="30" t="s">
        <v>737</v>
      </c>
      <c r="C730" s="7" t="s">
        <v>738</v>
      </c>
      <c r="D730" s="7" t="s">
        <v>3511</v>
      </c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6">
        <v>729.0</v>
      </c>
      <c r="B731" s="30" t="s">
        <v>749</v>
      </c>
      <c r="C731" s="7" t="s">
        <v>10</v>
      </c>
      <c r="D731" s="7" t="s">
        <v>3512</v>
      </c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6">
        <v>730.0</v>
      </c>
      <c r="B732" s="31" t="s">
        <v>755</v>
      </c>
      <c r="C732" s="32" t="s">
        <v>10</v>
      </c>
      <c r="D732" s="7" t="s">
        <v>753</v>
      </c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6">
        <v>731.0</v>
      </c>
      <c r="B733" s="30" t="s">
        <v>761</v>
      </c>
      <c r="C733" s="7" t="s">
        <v>762</v>
      </c>
      <c r="D733" s="7" t="s">
        <v>3513</v>
      </c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6">
        <v>732.0</v>
      </c>
      <c r="B734" s="30" t="s">
        <v>767</v>
      </c>
      <c r="C734" s="7" t="s">
        <v>773</v>
      </c>
      <c r="D734" s="7" t="s">
        <v>3514</v>
      </c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6">
        <v>733.0</v>
      </c>
      <c r="B735" s="30" t="s">
        <v>780</v>
      </c>
      <c r="C735" s="7" t="s">
        <v>781</v>
      </c>
      <c r="D735" s="7" t="s">
        <v>3515</v>
      </c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6">
        <v>734.0</v>
      </c>
      <c r="B736" s="30" t="s">
        <v>788</v>
      </c>
      <c r="C736" s="7" t="s">
        <v>781</v>
      </c>
      <c r="D736" s="7" t="s">
        <v>3516</v>
      </c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6">
        <v>735.0</v>
      </c>
      <c r="B737" s="30" t="s">
        <v>794</v>
      </c>
      <c r="C737" s="7" t="s">
        <v>795</v>
      </c>
      <c r="D737" s="7" t="s">
        <v>3517</v>
      </c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6">
        <v>736.0</v>
      </c>
      <c r="B738" s="30" t="s">
        <v>798</v>
      </c>
      <c r="C738" s="7" t="s">
        <v>386</v>
      </c>
      <c r="D738" s="7" t="s">
        <v>3518</v>
      </c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6">
        <v>737.0</v>
      </c>
      <c r="B739" s="31" t="s">
        <v>807</v>
      </c>
      <c r="C739" s="32" t="s">
        <v>386</v>
      </c>
      <c r="D739" s="7" t="s">
        <v>804</v>
      </c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6">
        <v>738.0</v>
      </c>
      <c r="B740" s="30" t="s">
        <v>813</v>
      </c>
      <c r="C740" s="7" t="s">
        <v>816</v>
      </c>
      <c r="D740" s="7" t="s">
        <v>3519</v>
      </c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6">
        <v>739.0</v>
      </c>
      <c r="B741" s="30" t="s">
        <v>821</v>
      </c>
      <c r="C741" s="7" t="s">
        <v>824</v>
      </c>
      <c r="D741" s="7" t="s">
        <v>3520</v>
      </c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6">
        <v>740.0</v>
      </c>
      <c r="B742" s="30" t="s">
        <v>829</v>
      </c>
      <c r="C742" s="7" t="s">
        <v>830</v>
      </c>
      <c r="D742" s="7" t="s">
        <v>3521</v>
      </c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6">
        <v>741.0</v>
      </c>
      <c r="B743" s="31" t="s">
        <v>838</v>
      </c>
      <c r="C743" s="32" t="s">
        <v>830</v>
      </c>
      <c r="D743" s="7" t="s">
        <v>3522</v>
      </c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6">
        <v>742.0</v>
      </c>
      <c r="B744" s="30" t="s">
        <v>845</v>
      </c>
      <c r="C744" s="7" t="s">
        <v>847</v>
      </c>
      <c r="D744" s="7" t="s">
        <v>3523</v>
      </c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6">
        <v>743.0</v>
      </c>
      <c r="B745" s="30" t="s">
        <v>854</v>
      </c>
      <c r="C745" s="7" t="s">
        <v>847</v>
      </c>
      <c r="D745" s="7" t="s">
        <v>3524</v>
      </c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6">
        <v>744.0</v>
      </c>
      <c r="B746" s="30" t="s">
        <v>863</v>
      </c>
      <c r="C746" s="7" t="s">
        <v>726</v>
      </c>
      <c r="D746" s="7" t="s">
        <v>3525</v>
      </c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6">
        <v>745.0</v>
      </c>
      <c r="B747" s="31" t="s">
        <v>870</v>
      </c>
      <c r="C747" s="32" t="s">
        <v>726</v>
      </c>
      <c r="D747" s="7" t="s">
        <v>868</v>
      </c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6">
        <v>746.0</v>
      </c>
      <c r="B748" s="30" t="s">
        <v>878</v>
      </c>
      <c r="C748" s="7" t="s">
        <v>879</v>
      </c>
      <c r="D748" s="7" t="s">
        <v>3526</v>
      </c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6">
        <v>747.0</v>
      </c>
      <c r="B749" s="30" t="s">
        <v>894</v>
      </c>
      <c r="C749" s="7" t="s">
        <v>21</v>
      </c>
      <c r="D749" s="7" t="s">
        <v>3527</v>
      </c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6">
        <v>748.0</v>
      </c>
      <c r="B750" s="31" t="s">
        <v>902</v>
      </c>
      <c r="C750" s="32" t="s">
        <v>21</v>
      </c>
      <c r="D750" s="7" t="s">
        <v>900</v>
      </c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6">
        <v>749.0</v>
      </c>
      <c r="B751" s="31" t="s">
        <v>912</v>
      </c>
      <c r="C751" s="32" t="s">
        <v>852</v>
      </c>
      <c r="D751" s="7" t="s">
        <v>3528</v>
      </c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6">
        <v>750.0</v>
      </c>
      <c r="B752" s="30" t="s">
        <v>919</v>
      </c>
      <c r="C752" s="7" t="s">
        <v>268</v>
      </c>
      <c r="D752" s="7" t="s">
        <v>3529</v>
      </c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6">
        <v>751.0</v>
      </c>
      <c r="B753" s="31" t="s">
        <v>928</v>
      </c>
      <c r="C753" s="32" t="s">
        <v>268</v>
      </c>
      <c r="D753" s="7" t="s">
        <v>926</v>
      </c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6">
        <v>752.0</v>
      </c>
      <c r="B754" s="30" t="s">
        <v>50</v>
      </c>
      <c r="C754" s="7" t="s">
        <v>52</v>
      </c>
      <c r="D754" s="7" t="s">
        <v>3530</v>
      </c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6">
        <v>753.0</v>
      </c>
      <c r="B755" s="30" t="s">
        <v>942</v>
      </c>
      <c r="C755" s="7" t="s">
        <v>944</v>
      </c>
      <c r="D755" s="7" t="s">
        <v>3531</v>
      </c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6">
        <v>754.0</v>
      </c>
      <c r="B756" s="30" t="s">
        <v>950</v>
      </c>
      <c r="C756" s="7" t="s">
        <v>944</v>
      </c>
      <c r="D756" s="7" t="s">
        <v>3532</v>
      </c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6">
        <v>755.0</v>
      </c>
      <c r="B757" s="31" t="s">
        <v>958</v>
      </c>
      <c r="C757" s="32" t="s">
        <v>944</v>
      </c>
      <c r="D757" s="7" t="s">
        <v>3533</v>
      </c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6">
        <v>756.0</v>
      </c>
      <c r="B758" s="30" t="s">
        <v>965</v>
      </c>
      <c r="C758" s="7" t="s">
        <v>843</v>
      </c>
      <c r="D758" s="7" t="s">
        <v>3534</v>
      </c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6">
        <v>757.0</v>
      </c>
      <c r="B759" s="30" t="s">
        <v>973</v>
      </c>
      <c r="C759" s="7" t="s">
        <v>843</v>
      </c>
      <c r="D759" s="7" t="s">
        <v>3535</v>
      </c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6">
        <v>758.0</v>
      </c>
      <c r="B760" s="31" t="s">
        <v>982</v>
      </c>
      <c r="C760" s="32" t="s">
        <v>843</v>
      </c>
      <c r="D760" s="7" t="s">
        <v>979</v>
      </c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6">
        <v>759.0</v>
      </c>
      <c r="B761" s="30" t="s">
        <v>988</v>
      </c>
      <c r="C761" s="7" t="s">
        <v>836</v>
      </c>
      <c r="D761" s="7" t="s">
        <v>3536</v>
      </c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6">
        <v>760.0</v>
      </c>
      <c r="B762" s="30" t="s">
        <v>996</v>
      </c>
      <c r="C762" s="7" t="s">
        <v>998</v>
      </c>
      <c r="D762" s="7" t="s">
        <v>3537</v>
      </c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6">
        <v>761.0</v>
      </c>
      <c r="B763" s="31" t="s">
        <v>1006</v>
      </c>
      <c r="C763" s="32" t="s">
        <v>998</v>
      </c>
      <c r="D763" s="7" t="s">
        <v>1003</v>
      </c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6">
        <v>762.0</v>
      </c>
      <c r="B764" s="30" t="s">
        <v>1012</v>
      </c>
      <c r="C764" s="7" t="s">
        <v>1014</v>
      </c>
      <c r="D764" s="7" t="s">
        <v>3538</v>
      </c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6">
        <v>763.0</v>
      </c>
      <c r="B765" s="31" t="s">
        <v>1019</v>
      </c>
      <c r="C765" s="32" t="s">
        <v>1014</v>
      </c>
      <c r="D765" s="7" t="s">
        <v>1017</v>
      </c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6">
        <v>764.0</v>
      </c>
      <c r="B766" s="30" t="s">
        <v>1023</v>
      </c>
      <c r="C766" s="7" t="s">
        <v>1025</v>
      </c>
      <c r="D766" s="7" t="s">
        <v>3539</v>
      </c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6">
        <v>765.0</v>
      </c>
      <c r="B767" s="31" t="s">
        <v>1031</v>
      </c>
      <c r="C767" s="32" t="s">
        <v>1025</v>
      </c>
      <c r="D767" s="7" t="s">
        <v>1029</v>
      </c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6">
        <v>766.0</v>
      </c>
      <c r="B768" s="30" t="s">
        <v>36</v>
      </c>
      <c r="C768" s="7" t="s">
        <v>38</v>
      </c>
      <c r="D768" s="7" t="s">
        <v>3540</v>
      </c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6">
        <v>767.0</v>
      </c>
      <c r="B769" s="30" t="s">
        <v>1037</v>
      </c>
      <c r="C769" s="7" t="s">
        <v>621</v>
      </c>
      <c r="D769" s="7" t="s">
        <v>3541</v>
      </c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6">
        <v>768.0</v>
      </c>
      <c r="B770" s="31" t="s">
        <v>1043</v>
      </c>
      <c r="C770" s="32" t="s">
        <v>621</v>
      </c>
      <c r="D770" s="7" t="s">
        <v>1041</v>
      </c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6">
        <v>769.0</v>
      </c>
      <c r="B771" s="30" t="s">
        <v>1048</v>
      </c>
      <c r="C771" s="7" t="s">
        <v>1049</v>
      </c>
      <c r="D771" s="7" t="s">
        <v>3542</v>
      </c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6">
        <v>770.0</v>
      </c>
      <c r="B772" s="30" t="s">
        <v>1056</v>
      </c>
      <c r="C772" s="7" t="s">
        <v>1057</v>
      </c>
      <c r="D772" s="7" t="s">
        <v>3543</v>
      </c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6">
        <v>771.0</v>
      </c>
      <c r="B773" s="31" t="s">
        <v>1063</v>
      </c>
      <c r="C773" s="32" t="s">
        <v>1066</v>
      </c>
      <c r="D773" s="7" t="s">
        <v>3544</v>
      </c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6">
        <v>772.0</v>
      </c>
      <c r="B774" s="30" t="s">
        <v>1071</v>
      </c>
      <c r="C774" s="7" t="s">
        <v>1074</v>
      </c>
      <c r="D774" s="7" t="s">
        <v>3545</v>
      </c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6">
        <v>773.0</v>
      </c>
      <c r="B775" s="30" t="s">
        <v>1082</v>
      </c>
      <c r="C775" s="7" t="s">
        <v>1084</v>
      </c>
      <c r="D775" s="7" t="s">
        <v>3546</v>
      </c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6">
        <v>774.0</v>
      </c>
      <c r="B776" s="30" t="s">
        <v>1095</v>
      </c>
      <c r="C776" s="7" t="s">
        <v>1098</v>
      </c>
      <c r="D776" s="7" t="s">
        <v>3547</v>
      </c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6">
        <v>775.0</v>
      </c>
      <c r="B777" s="30" t="s">
        <v>1105</v>
      </c>
      <c r="C777" s="7" t="s">
        <v>1107</v>
      </c>
      <c r="D777" s="7" t="s">
        <v>3548</v>
      </c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6">
        <v>776.0</v>
      </c>
      <c r="B778" s="30" t="s">
        <v>1115</v>
      </c>
      <c r="C778" s="7" t="s">
        <v>1116</v>
      </c>
      <c r="D778" s="7" t="s">
        <v>3549</v>
      </c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6">
        <v>777.0</v>
      </c>
      <c r="B779" s="30" t="s">
        <v>1123</v>
      </c>
      <c r="C779" s="7" t="s">
        <v>67</v>
      </c>
      <c r="D779" s="7" t="s">
        <v>3550</v>
      </c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6">
        <v>778.0</v>
      </c>
      <c r="B780" s="30" t="s">
        <v>1142</v>
      </c>
      <c r="C780" s="7" t="s">
        <v>378</v>
      </c>
      <c r="D780" s="7" t="s">
        <v>3551</v>
      </c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6">
        <v>779.0</v>
      </c>
      <c r="B781" s="30" t="s">
        <v>1161</v>
      </c>
      <c r="C781" s="7" t="s">
        <v>7</v>
      </c>
      <c r="D781" s="7" t="s">
        <v>3552</v>
      </c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6">
        <v>780.0</v>
      </c>
      <c r="B782" s="31" t="s">
        <v>1170</v>
      </c>
      <c r="C782" s="32" t="s">
        <v>7</v>
      </c>
      <c r="D782" s="7" t="s">
        <v>1167</v>
      </c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6">
        <v>781.0</v>
      </c>
      <c r="B783" s="30" t="s">
        <v>1179</v>
      </c>
      <c r="C783" s="7" t="s">
        <v>1181</v>
      </c>
      <c r="D783" s="7" t="s">
        <v>3553</v>
      </c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6">
        <v>782.0</v>
      </c>
      <c r="B784" s="30" t="s">
        <v>1187</v>
      </c>
      <c r="C784" s="7" t="s">
        <v>1190</v>
      </c>
      <c r="D784" s="7" t="s">
        <v>3554</v>
      </c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6">
        <v>783.0</v>
      </c>
      <c r="B785" s="30" t="s">
        <v>1196</v>
      </c>
      <c r="C785" s="7" t="s">
        <v>1199</v>
      </c>
      <c r="D785" s="7" t="s">
        <v>3555</v>
      </c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6">
        <v>784.0</v>
      </c>
      <c r="B786" s="30" t="s">
        <v>1206</v>
      </c>
      <c r="C786" s="7" t="s">
        <v>1208</v>
      </c>
      <c r="D786" s="7" t="s">
        <v>3556</v>
      </c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6">
        <v>785.0</v>
      </c>
      <c r="B787" s="30" t="s">
        <v>1216</v>
      </c>
      <c r="C787" s="7" t="s">
        <v>1217</v>
      </c>
      <c r="D787" s="7" t="s">
        <v>3557</v>
      </c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6">
        <v>786.0</v>
      </c>
      <c r="B788" s="31" t="s">
        <v>1224</v>
      </c>
      <c r="C788" s="32" t="s">
        <v>1217</v>
      </c>
      <c r="D788" s="7" t="s">
        <v>1221</v>
      </c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6">
        <v>787.0</v>
      </c>
      <c r="B789" s="30" t="s">
        <v>1232</v>
      </c>
      <c r="C789" s="7" t="s">
        <v>1233</v>
      </c>
      <c r="D789" s="7" t="s">
        <v>3558</v>
      </c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6">
        <v>788.0</v>
      </c>
      <c r="B790" s="31" t="s">
        <v>1239</v>
      </c>
      <c r="C790" s="32" t="s">
        <v>1233</v>
      </c>
      <c r="D790" s="7" t="s">
        <v>1238</v>
      </c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6">
        <v>789.0</v>
      </c>
      <c r="B791" s="30" t="s">
        <v>1246</v>
      </c>
      <c r="C791" s="7" t="s">
        <v>1248</v>
      </c>
      <c r="D791" s="7" t="s">
        <v>3559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6">
        <v>790.0</v>
      </c>
      <c r="B792" s="30" t="s">
        <v>1345</v>
      </c>
      <c r="C792" s="7" t="s">
        <v>1348</v>
      </c>
      <c r="D792" s="7" t="s">
        <v>3560</v>
      </c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6">
        <v>791.0</v>
      </c>
      <c r="B793" s="30" t="s">
        <v>1356</v>
      </c>
      <c r="C793" s="7" t="s">
        <v>58</v>
      </c>
      <c r="D793" s="7" t="s">
        <v>3561</v>
      </c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6">
        <v>792.0</v>
      </c>
      <c r="B794" s="31" t="s">
        <v>1368</v>
      </c>
      <c r="C794" s="32" t="s">
        <v>58</v>
      </c>
      <c r="D794" s="7" t="s">
        <v>1366</v>
      </c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6">
        <v>793.0</v>
      </c>
      <c r="B795" s="31" t="s">
        <v>1376</v>
      </c>
      <c r="C795" s="32" t="s">
        <v>58</v>
      </c>
      <c r="D795" s="7" t="s">
        <v>3562</v>
      </c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6">
        <v>794.0</v>
      </c>
      <c r="B796" s="30" t="s">
        <v>1382</v>
      </c>
      <c r="C796" s="7" t="s">
        <v>1384</v>
      </c>
      <c r="D796" s="7" t="s">
        <v>3563</v>
      </c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6">
        <v>795.0</v>
      </c>
      <c r="B797" s="30" t="s">
        <v>1391</v>
      </c>
      <c r="C797" s="7" t="s">
        <v>1392</v>
      </c>
      <c r="D797" s="7" t="s">
        <v>3564</v>
      </c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6">
        <v>796.0</v>
      </c>
      <c r="B798" s="30" t="s">
        <v>1399</v>
      </c>
      <c r="C798" s="7" t="s">
        <v>1283</v>
      </c>
      <c r="D798" s="7" t="s">
        <v>3565</v>
      </c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6">
        <v>797.0</v>
      </c>
      <c r="B799" s="30" t="s">
        <v>1408</v>
      </c>
      <c r="C799" s="7" t="s">
        <v>1410</v>
      </c>
      <c r="D799" s="7" t="s">
        <v>3566</v>
      </c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6">
        <v>798.0</v>
      </c>
      <c r="B800" s="30" t="s">
        <v>1417</v>
      </c>
      <c r="C800" s="7" t="s">
        <v>1419</v>
      </c>
      <c r="D800" s="7" t="s">
        <v>3567</v>
      </c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6">
        <v>799.0</v>
      </c>
      <c r="B801" s="30" t="s">
        <v>1424</v>
      </c>
      <c r="C801" s="7" t="s">
        <v>1407</v>
      </c>
      <c r="D801" s="7" t="s">
        <v>3568</v>
      </c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6">
        <v>800.0</v>
      </c>
      <c r="B802" s="31" t="s">
        <v>1427</v>
      </c>
      <c r="C802" s="32" t="s">
        <v>1407</v>
      </c>
      <c r="D802" s="7" t="s">
        <v>1426</v>
      </c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6">
        <v>801.0</v>
      </c>
      <c r="B803" s="30" t="s">
        <v>1433</v>
      </c>
      <c r="C803" s="7" t="s">
        <v>1435</v>
      </c>
      <c r="D803" s="7" t="s">
        <v>3569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6">
        <v>802.0</v>
      </c>
      <c r="B804" s="30" t="s">
        <v>1437</v>
      </c>
      <c r="C804" s="7" t="s">
        <v>63</v>
      </c>
      <c r="D804" s="7" t="s">
        <v>3570</v>
      </c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6">
        <v>803.0</v>
      </c>
      <c r="B805" s="30" t="s">
        <v>1443</v>
      </c>
      <c r="C805" s="7" t="s">
        <v>1445</v>
      </c>
      <c r="D805" s="7" t="s">
        <v>3571</v>
      </c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6">
        <v>804.0</v>
      </c>
      <c r="B806" s="30" t="s">
        <v>1451</v>
      </c>
      <c r="C806" s="7" t="s">
        <v>1452</v>
      </c>
      <c r="D806" s="7" t="s">
        <v>3572</v>
      </c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6">
        <v>805.0</v>
      </c>
      <c r="B807" s="31" t="s">
        <v>1462</v>
      </c>
      <c r="C807" s="32" t="s">
        <v>1452</v>
      </c>
      <c r="D807" s="7" t="s">
        <v>1460</v>
      </c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6">
        <v>806.0</v>
      </c>
      <c r="B808" s="30" t="s">
        <v>1466</v>
      </c>
      <c r="C808" s="7" t="s">
        <v>32</v>
      </c>
      <c r="D808" s="7" t="s">
        <v>3573</v>
      </c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6">
        <v>807.0</v>
      </c>
      <c r="B809" s="30" t="s">
        <v>30</v>
      </c>
      <c r="C809" s="7" t="s">
        <v>32</v>
      </c>
      <c r="D809" s="7" t="s">
        <v>3574</v>
      </c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6">
        <v>808.0</v>
      </c>
      <c r="B810" s="30" t="s">
        <v>1477</v>
      </c>
      <c r="C810" s="7" t="s">
        <v>1479</v>
      </c>
      <c r="D810" s="7" t="s">
        <v>3575</v>
      </c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6">
        <v>809.0</v>
      </c>
      <c r="B811" s="17" t="s">
        <v>62</v>
      </c>
      <c r="C811" s="17" t="s">
        <v>63</v>
      </c>
      <c r="D811" s="7" t="s">
        <v>3570</v>
      </c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6">
        <v>810.0</v>
      </c>
      <c r="B812" s="17" t="s">
        <v>66</v>
      </c>
      <c r="C812" s="17" t="s">
        <v>67</v>
      </c>
      <c r="D812" s="7" t="s">
        <v>3550</v>
      </c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6">
        <v>811.0</v>
      </c>
      <c r="B813" s="17" t="s">
        <v>94</v>
      </c>
      <c r="C813" s="17" t="s">
        <v>13</v>
      </c>
      <c r="D813" s="7" t="s">
        <v>3576</v>
      </c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6">
        <v>812.0</v>
      </c>
      <c r="B814" s="17" t="s">
        <v>99</v>
      </c>
      <c r="C814" s="17" t="s">
        <v>100</v>
      </c>
      <c r="D814" s="7" t="s">
        <v>3577</v>
      </c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6">
        <v>813.0</v>
      </c>
      <c r="B815" s="17" t="s">
        <v>108</v>
      </c>
      <c r="C815" s="17" t="s">
        <v>24</v>
      </c>
      <c r="D815" s="7" t="s">
        <v>3578</v>
      </c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6">
        <v>814.0</v>
      </c>
      <c r="B816" s="17" t="s">
        <v>115</v>
      </c>
      <c r="C816" s="17" t="s">
        <v>24</v>
      </c>
      <c r="D816" s="7" t="s">
        <v>3579</v>
      </c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6">
        <v>815.0</v>
      </c>
      <c r="B817" s="17" t="s">
        <v>120</v>
      </c>
      <c r="C817" s="17" t="s">
        <v>13</v>
      </c>
      <c r="D817" s="7" t="s">
        <v>3580</v>
      </c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6">
        <v>816.0</v>
      </c>
      <c r="B818" s="17" t="s">
        <v>126</v>
      </c>
      <c r="C818" s="17" t="s">
        <v>13</v>
      </c>
      <c r="D818" s="7" t="s">
        <v>3581</v>
      </c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6">
        <v>817.0</v>
      </c>
      <c r="B819" s="17" t="s">
        <v>132</v>
      </c>
      <c r="C819" s="17" t="s">
        <v>13</v>
      </c>
      <c r="D819" s="7" t="s">
        <v>3582</v>
      </c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6">
        <v>818.0</v>
      </c>
      <c r="B820" s="17" t="s">
        <v>139</v>
      </c>
      <c r="C820" s="17" t="s">
        <v>13</v>
      </c>
      <c r="D820" s="7" t="s">
        <v>3583</v>
      </c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6">
        <v>819.0</v>
      </c>
      <c r="B821" s="17" t="s">
        <v>144</v>
      </c>
      <c r="C821" s="17" t="s">
        <v>100</v>
      </c>
      <c r="D821" s="7" t="s">
        <v>3584</v>
      </c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6">
        <v>820.0</v>
      </c>
      <c r="B822" s="17" t="s">
        <v>149</v>
      </c>
      <c r="C822" s="17" t="s">
        <v>100</v>
      </c>
      <c r="D822" s="7" t="s">
        <v>3585</v>
      </c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6">
        <v>821.0</v>
      </c>
      <c r="B823" s="17" t="s">
        <v>155</v>
      </c>
      <c r="C823" s="17" t="s">
        <v>100</v>
      </c>
      <c r="D823" s="7" t="s">
        <v>3586</v>
      </c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6">
        <v>822.0</v>
      </c>
      <c r="B824" s="17" t="s">
        <v>159</v>
      </c>
      <c r="C824" s="17" t="s">
        <v>13</v>
      </c>
      <c r="D824" s="7" t="s">
        <v>3587</v>
      </c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6">
        <v>823.0</v>
      </c>
      <c r="B825" s="17" t="s">
        <v>163</v>
      </c>
      <c r="C825" s="17" t="s">
        <v>13</v>
      </c>
      <c r="D825" s="7" t="s">
        <v>3588</v>
      </c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6">
        <v>824.0</v>
      </c>
      <c r="B826" s="17" t="s">
        <v>166</v>
      </c>
      <c r="C826" s="17" t="s">
        <v>13</v>
      </c>
      <c r="D826" s="7" t="s">
        <v>3589</v>
      </c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6">
        <v>825.0</v>
      </c>
      <c r="B827" s="17" t="s">
        <v>171</v>
      </c>
      <c r="C827" s="17" t="s">
        <v>13</v>
      </c>
      <c r="D827" s="7" t="s">
        <v>3590</v>
      </c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6">
        <v>826.0</v>
      </c>
      <c r="B828" s="17" t="s">
        <v>175</v>
      </c>
      <c r="C828" s="17" t="s">
        <v>13</v>
      </c>
      <c r="D828" s="7" t="s">
        <v>3591</v>
      </c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6">
        <v>827.0</v>
      </c>
      <c r="B829" s="17" t="s">
        <v>180</v>
      </c>
      <c r="C829" s="17" t="s">
        <v>13</v>
      </c>
      <c r="D829" s="7" t="s">
        <v>3592</v>
      </c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6">
        <v>828.0</v>
      </c>
      <c r="B830" s="17" t="s">
        <v>184</v>
      </c>
      <c r="C830" s="17" t="s">
        <v>13</v>
      </c>
      <c r="D830" s="7" t="s">
        <v>3593</v>
      </c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6">
        <v>829.0</v>
      </c>
      <c r="B831" s="17" t="s">
        <v>190</v>
      </c>
      <c r="C831" s="17" t="s">
        <v>13</v>
      </c>
      <c r="D831" s="7" t="s">
        <v>3594</v>
      </c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6">
        <v>830.0</v>
      </c>
      <c r="B832" s="17" t="s">
        <v>213</v>
      </c>
      <c r="C832" s="17" t="s">
        <v>31</v>
      </c>
      <c r="D832" s="7" t="s">
        <v>3595</v>
      </c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6">
        <v>831.0</v>
      </c>
      <c r="B833" s="17" t="s">
        <v>219</v>
      </c>
      <c r="C833" s="17" t="s">
        <v>31</v>
      </c>
      <c r="D833" s="7" t="s">
        <v>3596</v>
      </c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6">
        <v>832.0</v>
      </c>
      <c r="B834" s="17" t="s">
        <v>221</v>
      </c>
      <c r="C834" s="17" t="s">
        <v>31</v>
      </c>
      <c r="D834" s="7" t="s">
        <v>3597</v>
      </c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6">
        <v>833.0</v>
      </c>
      <c r="B835" s="17" t="s">
        <v>225</v>
      </c>
      <c r="C835" s="17" t="s">
        <v>203</v>
      </c>
      <c r="D835" s="7" t="s">
        <v>3598</v>
      </c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6">
        <v>834.0</v>
      </c>
      <c r="B836" s="17" t="s">
        <v>227</v>
      </c>
      <c r="C836" s="17" t="s">
        <v>203</v>
      </c>
      <c r="D836" s="7" t="s">
        <v>3599</v>
      </c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6">
        <v>835.0</v>
      </c>
      <c r="B837" s="17" t="s">
        <v>232</v>
      </c>
      <c r="C837" s="17" t="s">
        <v>31</v>
      </c>
      <c r="D837" s="7" t="s">
        <v>3600</v>
      </c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6">
        <v>836.0</v>
      </c>
      <c r="B838" s="17" t="s">
        <v>236</v>
      </c>
      <c r="C838" s="17" t="s">
        <v>238</v>
      </c>
      <c r="D838" s="7" t="s">
        <v>3601</v>
      </c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6">
        <v>837.0</v>
      </c>
      <c r="B839" s="17" t="s">
        <v>243</v>
      </c>
      <c r="C839" s="17" t="s">
        <v>238</v>
      </c>
      <c r="D839" s="7" t="s">
        <v>3602</v>
      </c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6">
        <v>838.0</v>
      </c>
      <c r="B840" s="17" t="s">
        <v>248</v>
      </c>
      <c r="C840" s="17" t="s">
        <v>238</v>
      </c>
      <c r="D840" s="7" t="s">
        <v>3603</v>
      </c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6">
        <v>839.0</v>
      </c>
      <c r="B841" s="17" t="s">
        <v>252</v>
      </c>
      <c r="C841" s="17" t="s">
        <v>238</v>
      </c>
      <c r="D841" s="7" t="s">
        <v>3604</v>
      </c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6">
        <v>840.0</v>
      </c>
      <c r="B842" s="17" t="s">
        <v>255</v>
      </c>
      <c r="C842" s="17" t="s">
        <v>238</v>
      </c>
      <c r="D842" s="7" t="s">
        <v>3605</v>
      </c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6">
        <v>841.0</v>
      </c>
      <c r="B843" s="17" t="s">
        <v>260</v>
      </c>
      <c r="C843" s="17" t="s">
        <v>238</v>
      </c>
      <c r="D843" s="7" t="s">
        <v>3606</v>
      </c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6">
        <v>842.0</v>
      </c>
      <c r="B844" s="17" t="s">
        <v>272</v>
      </c>
      <c r="C844" s="17" t="s">
        <v>273</v>
      </c>
      <c r="D844" s="7" t="s">
        <v>3607</v>
      </c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6">
        <v>843.0</v>
      </c>
      <c r="B845" s="17" t="s">
        <v>280</v>
      </c>
      <c r="C845" s="17" t="s">
        <v>282</v>
      </c>
      <c r="D845" s="7" t="s">
        <v>3608</v>
      </c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6">
        <v>844.0</v>
      </c>
      <c r="B846" s="17" t="s">
        <v>288</v>
      </c>
      <c r="C846" s="17" t="s">
        <v>268</v>
      </c>
      <c r="D846" s="7" t="s">
        <v>3609</v>
      </c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6">
        <v>845.0</v>
      </c>
      <c r="B847" s="17" t="s">
        <v>294</v>
      </c>
      <c r="C847" s="17" t="s">
        <v>296</v>
      </c>
      <c r="D847" s="7" t="s">
        <v>3610</v>
      </c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6">
        <v>846.0</v>
      </c>
      <c r="B848" s="17" t="s">
        <v>300</v>
      </c>
      <c r="C848" s="17" t="s">
        <v>302</v>
      </c>
      <c r="D848" s="7" t="s">
        <v>3611</v>
      </c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6">
        <v>847.0</v>
      </c>
      <c r="B849" s="17" t="s">
        <v>308</v>
      </c>
      <c r="C849" s="17" t="s">
        <v>310</v>
      </c>
      <c r="D849" s="7" t="s">
        <v>3612</v>
      </c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6">
        <v>848.0</v>
      </c>
      <c r="B850" s="17" t="s">
        <v>314</v>
      </c>
      <c r="C850" s="17" t="s">
        <v>318</v>
      </c>
      <c r="D850" s="7" t="s">
        <v>3613</v>
      </c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6">
        <v>849.0</v>
      </c>
      <c r="B851" s="17" t="s">
        <v>324</v>
      </c>
      <c r="C851" s="17" t="s">
        <v>325</v>
      </c>
      <c r="D851" s="7" t="s">
        <v>3614</v>
      </c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6">
        <v>850.0</v>
      </c>
      <c r="B852" s="17" t="s">
        <v>331</v>
      </c>
      <c r="C852" s="17" t="s">
        <v>268</v>
      </c>
      <c r="D852" s="7" t="s">
        <v>3615</v>
      </c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6">
        <v>851.0</v>
      </c>
      <c r="B853" s="17" t="s">
        <v>337</v>
      </c>
      <c r="C853" s="17" t="s">
        <v>338</v>
      </c>
      <c r="D853" s="7" t="s">
        <v>3616</v>
      </c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6">
        <v>852.0</v>
      </c>
      <c r="B854" s="17" t="s">
        <v>344</v>
      </c>
      <c r="C854" s="17" t="s">
        <v>346</v>
      </c>
      <c r="D854" s="7" t="s">
        <v>3617</v>
      </c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6">
        <v>853.0</v>
      </c>
      <c r="B855" s="17" t="s">
        <v>352</v>
      </c>
      <c r="C855" s="17" t="s">
        <v>354</v>
      </c>
      <c r="D855" s="7" t="s">
        <v>3618</v>
      </c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6">
        <v>854.0</v>
      </c>
      <c r="B856" s="17" t="s">
        <v>360</v>
      </c>
      <c r="C856" s="17" t="s">
        <v>363</v>
      </c>
      <c r="D856" s="7" t="s">
        <v>3619</v>
      </c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6">
        <v>855.0</v>
      </c>
      <c r="B857" s="17" t="s">
        <v>367</v>
      </c>
      <c r="C857" s="17" t="s">
        <v>363</v>
      </c>
      <c r="D857" s="7" t="s">
        <v>3620</v>
      </c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6">
        <v>856.0</v>
      </c>
      <c r="B858" s="17" t="s">
        <v>375</v>
      </c>
      <c r="C858" s="17" t="s">
        <v>378</v>
      </c>
      <c r="D858" s="7" t="s">
        <v>3621</v>
      </c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6">
        <v>857.0</v>
      </c>
      <c r="B859" s="17" t="s">
        <v>383</v>
      </c>
      <c r="C859" s="17" t="s">
        <v>386</v>
      </c>
      <c r="D859" s="7" t="s">
        <v>3622</v>
      </c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6">
        <v>858.0</v>
      </c>
      <c r="B860" s="17" t="s">
        <v>394</v>
      </c>
      <c r="C860" s="17" t="s">
        <v>354</v>
      </c>
      <c r="D860" s="7" t="s">
        <v>3623</v>
      </c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6">
        <v>859.0</v>
      </c>
      <c r="B861" s="17" t="s">
        <v>403</v>
      </c>
      <c r="C861" s="17" t="s">
        <v>386</v>
      </c>
      <c r="D861" s="7" t="s">
        <v>3624</v>
      </c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6">
        <v>860.0</v>
      </c>
      <c r="B862" s="17" t="s">
        <v>408</v>
      </c>
      <c r="C862" s="17" t="s">
        <v>386</v>
      </c>
      <c r="D862" s="7" t="s">
        <v>3625</v>
      </c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6">
        <v>861.0</v>
      </c>
      <c r="B863" s="17" t="s">
        <v>416</v>
      </c>
      <c r="C863" s="17" t="s">
        <v>346</v>
      </c>
      <c r="D863" s="7" t="s">
        <v>3626</v>
      </c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6">
        <v>862.0</v>
      </c>
      <c r="B864" s="17" t="s">
        <v>419</v>
      </c>
      <c r="C864" s="17" t="s">
        <v>421</v>
      </c>
      <c r="D864" s="7" t="s">
        <v>3627</v>
      </c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6">
        <v>863.0</v>
      </c>
      <c r="B865" s="17" t="s">
        <v>426</v>
      </c>
      <c r="C865" s="17" t="s">
        <v>338</v>
      </c>
      <c r="D865" s="7" t="s">
        <v>3628</v>
      </c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6">
        <v>864.0</v>
      </c>
      <c r="B866" s="17" t="s">
        <v>432</v>
      </c>
      <c r="C866" s="17" t="s">
        <v>435</v>
      </c>
      <c r="D866" s="7" t="s">
        <v>3603</v>
      </c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6">
        <v>865.0</v>
      </c>
      <c r="B867" s="17" t="s">
        <v>440</v>
      </c>
      <c r="C867" s="17" t="s">
        <v>38</v>
      </c>
      <c r="D867" s="7" t="s">
        <v>3629</v>
      </c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6">
        <v>866.0</v>
      </c>
      <c r="B868" s="17" t="s">
        <v>446</v>
      </c>
      <c r="C868" s="17" t="s">
        <v>448</v>
      </c>
      <c r="D868" s="7" t="s">
        <v>3630</v>
      </c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6">
        <v>867.0</v>
      </c>
      <c r="B869" s="17" t="s">
        <v>455</v>
      </c>
      <c r="C869" s="17" t="s">
        <v>457</v>
      </c>
      <c r="D869" s="7" t="s">
        <v>3631</v>
      </c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6">
        <v>868.0</v>
      </c>
      <c r="B870" s="17" t="s">
        <v>463</v>
      </c>
      <c r="C870" s="17" t="s">
        <v>448</v>
      </c>
      <c r="D870" s="7" t="s">
        <v>3632</v>
      </c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6">
        <v>869.0</v>
      </c>
      <c r="B871" s="17" t="s">
        <v>472</v>
      </c>
      <c r="C871" s="17" t="s">
        <v>474</v>
      </c>
      <c r="D871" s="7" t="s">
        <v>3633</v>
      </c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6">
        <v>870.0</v>
      </c>
      <c r="B872" s="17" t="s">
        <v>481</v>
      </c>
      <c r="C872" s="17" t="s">
        <v>474</v>
      </c>
      <c r="D872" s="7" t="s">
        <v>3634</v>
      </c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6">
        <v>871.0</v>
      </c>
      <c r="B873" s="17" t="s">
        <v>489</v>
      </c>
      <c r="C873" s="17" t="s">
        <v>457</v>
      </c>
      <c r="D873" s="7" t="s">
        <v>3635</v>
      </c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6">
        <v>872.0</v>
      </c>
      <c r="B874" s="17" t="s">
        <v>498</v>
      </c>
      <c r="C874" s="17" t="s">
        <v>499</v>
      </c>
      <c r="D874" s="7" t="s">
        <v>3636</v>
      </c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6">
        <v>873.0</v>
      </c>
      <c r="B875" s="17" t="s">
        <v>507</v>
      </c>
      <c r="C875" s="17" t="s">
        <v>509</v>
      </c>
      <c r="D875" s="7" t="s">
        <v>3637</v>
      </c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6">
        <v>874.0</v>
      </c>
      <c r="B876" s="17" t="s">
        <v>515</v>
      </c>
      <c r="C876" s="17" t="s">
        <v>516</v>
      </c>
      <c r="D876" s="7" t="s">
        <v>3638</v>
      </c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6">
        <v>875.0</v>
      </c>
      <c r="B877" s="17" t="s">
        <v>532</v>
      </c>
      <c r="C877" s="17" t="s">
        <v>509</v>
      </c>
      <c r="D877" s="7" t="s">
        <v>3639</v>
      </c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6">
        <v>876.0</v>
      </c>
      <c r="B878" s="17" t="s">
        <v>544</v>
      </c>
      <c r="C878" s="17" t="s">
        <v>448</v>
      </c>
      <c r="D878" s="7" t="s">
        <v>3640</v>
      </c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6">
        <v>877.0</v>
      </c>
      <c r="B879" s="17" t="s">
        <v>549</v>
      </c>
      <c r="C879" s="17" t="s">
        <v>550</v>
      </c>
      <c r="D879" s="7" t="s">
        <v>3641</v>
      </c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6">
        <v>878.0</v>
      </c>
      <c r="B880" s="17" t="s">
        <v>556</v>
      </c>
      <c r="C880" s="17" t="s">
        <v>516</v>
      </c>
      <c r="D880" s="7" t="s">
        <v>3642</v>
      </c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6">
        <v>879.0</v>
      </c>
      <c r="B881" s="17" t="s">
        <v>564</v>
      </c>
      <c r="C881" s="17" t="s">
        <v>550</v>
      </c>
      <c r="D881" s="7" t="s">
        <v>3643</v>
      </c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6">
        <v>880.0</v>
      </c>
      <c r="B882" s="17" t="s">
        <v>571</v>
      </c>
      <c r="C882" s="17" t="s">
        <v>516</v>
      </c>
      <c r="D882" s="7" t="s">
        <v>3644</v>
      </c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6">
        <v>881.0</v>
      </c>
      <c r="B883" s="17" t="s">
        <v>580</v>
      </c>
      <c r="C883" s="17" t="s">
        <v>509</v>
      </c>
      <c r="D883" s="7" t="s">
        <v>3645</v>
      </c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6">
        <v>882.0</v>
      </c>
      <c r="B884" s="17" t="s">
        <v>587</v>
      </c>
      <c r="C884" s="17" t="s">
        <v>550</v>
      </c>
      <c r="D884" s="7" t="s">
        <v>3646</v>
      </c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6">
        <v>883.0</v>
      </c>
      <c r="B885" s="17" t="s">
        <v>594</v>
      </c>
      <c r="C885" s="17" t="s">
        <v>499</v>
      </c>
      <c r="D885" s="7" t="s">
        <v>3647</v>
      </c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6">
        <v>884.0</v>
      </c>
      <c r="B886" s="17" t="s">
        <v>604</v>
      </c>
      <c r="C886" s="17" t="s">
        <v>550</v>
      </c>
      <c r="D886" s="7" t="s">
        <v>3648</v>
      </c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6">
        <v>885.0</v>
      </c>
      <c r="B887" s="17" t="s">
        <v>608</v>
      </c>
      <c r="C887" s="17" t="s">
        <v>550</v>
      </c>
      <c r="D887" s="7" t="s">
        <v>3649</v>
      </c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6">
        <v>886.0</v>
      </c>
      <c r="B888" s="17" t="s">
        <v>617</v>
      </c>
      <c r="C888" s="17" t="s">
        <v>550</v>
      </c>
      <c r="D888" s="7" t="s">
        <v>3650</v>
      </c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6">
        <v>887.0</v>
      </c>
      <c r="B889" s="17" t="s">
        <v>635</v>
      </c>
      <c r="C889" s="17" t="s">
        <v>628</v>
      </c>
      <c r="D889" s="7" t="s">
        <v>3651</v>
      </c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6">
        <v>888.0</v>
      </c>
      <c r="B890" s="17" t="s">
        <v>643</v>
      </c>
      <c r="C890" s="17" t="s">
        <v>621</v>
      </c>
      <c r="D890" s="7" t="s">
        <v>3652</v>
      </c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6">
        <v>889.0</v>
      </c>
      <c r="B891" s="17" t="s">
        <v>651</v>
      </c>
      <c r="C891" s="17" t="s">
        <v>621</v>
      </c>
      <c r="D891" s="7" t="s">
        <v>3653</v>
      </c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6">
        <v>890.0</v>
      </c>
      <c r="B892" s="17" t="s">
        <v>659</v>
      </c>
      <c r="C892" s="17" t="s">
        <v>661</v>
      </c>
      <c r="D892" s="7" t="s">
        <v>3654</v>
      </c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6">
        <v>891.0</v>
      </c>
      <c r="B893" s="17" t="s">
        <v>667</v>
      </c>
      <c r="C893" s="17" t="s">
        <v>661</v>
      </c>
      <c r="D893" s="7" t="s">
        <v>3655</v>
      </c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6">
        <v>892.0</v>
      </c>
      <c r="B894" s="17" t="s">
        <v>673</v>
      </c>
      <c r="C894" s="17" t="s">
        <v>675</v>
      </c>
      <c r="D894" s="7" t="s">
        <v>3656</v>
      </c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6">
        <v>893.0</v>
      </c>
      <c r="B895" s="17" t="s">
        <v>682</v>
      </c>
      <c r="C895" s="17" t="s">
        <v>684</v>
      </c>
      <c r="D895" s="7" t="s">
        <v>3657</v>
      </c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6">
        <v>894.0</v>
      </c>
      <c r="B896" s="17" t="s">
        <v>690</v>
      </c>
      <c r="C896" s="17" t="s">
        <v>693</v>
      </c>
      <c r="D896" s="7" t="s">
        <v>3658</v>
      </c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6">
        <v>895.0</v>
      </c>
      <c r="B897" s="17" t="s">
        <v>699</v>
      </c>
      <c r="C897" s="17" t="s">
        <v>621</v>
      </c>
      <c r="D897" s="7" t="s">
        <v>3659</v>
      </c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6">
        <v>896.0</v>
      </c>
      <c r="B898" s="17" t="s">
        <v>709</v>
      </c>
      <c r="C898" s="17" t="s">
        <v>710</v>
      </c>
      <c r="D898" s="7" t="s">
        <v>3660</v>
      </c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6">
        <v>897.0</v>
      </c>
      <c r="B899" s="17" t="s">
        <v>717</v>
      </c>
      <c r="C899" s="17" t="s">
        <v>628</v>
      </c>
      <c r="D899" s="7" t="s">
        <v>3661</v>
      </c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6">
        <v>898.0</v>
      </c>
      <c r="B900" s="17" t="s">
        <v>733</v>
      </c>
      <c r="C900" s="17" t="s">
        <v>735</v>
      </c>
      <c r="D900" s="7" t="s">
        <v>3662</v>
      </c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6">
        <v>899.0</v>
      </c>
      <c r="B901" s="17" t="s">
        <v>747</v>
      </c>
      <c r="C901" s="17" t="s">
        <v>743</v>
      </c>
      <c r="D901" s="7" t="s">
        <v>3663</v>
      </c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6">
        <v>900.0</v>
      </c>
      <c r="B902" s="17" t="s">
        <v>756</v>
      </c>
      <c r="C902" s="17" t="s">
        <v>758</v>
      </c>
      <c r="D902" s="7" t="s">
        <v>3664</v>
      </c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6">
        <v>901.0</v>
      </c>
      <c r="B903" s="17" t="s">
        <v>766</v>
      </c>
      <c r="C903" s="17" t="s">
        <v>784</v>
      </c>
      <c r="D903" s="7" t="s">
        <v>3665</v>
      </c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6">
        <v>902.0</v>
      </c>
      <c r="B904" s="17" t="s">
        <v>793</v>
      </c>
      <c r="C904" s="17" t="s">
        <v>726</v>
      </c>
      <c r="D904" s="7" t="s">
        <v>3666</v>
      </c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6">
        <v>903.0</v>
      </c>
      <c r="B905" s="17" t="s">
        <v>808</v>
      </c>
      <c r="C905" s="17" t="s">
        <v>809</v>
      </c>
      <c r="D905" s="7" t="s">
        <v>3667</v>
      </c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6">
        <v>904.0</v>
      </c>
      <c r="B906" s="17" t="s">
        <v>817</v>
      </c>
      <c r="C906" s="17" t="s">
        <v>735</v>
      </c>
      <c r="D906" s="7" t="s">
        <v>3668</v>
      </c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6">
        <v>905.0</v>
      </c>
      <c r="B907" s="17" t="s">
        <v>825</v>
      </c>
      <c r="C907" s="17" t="s">
        <v>726</v>
      </c>
      <c r="D907" s="7" t="s">
        <v>3669</v>
      </c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6">
        <v>906.0</v>
      </c>
      <c r="B908" s="17" t="s">
        <v>842</v>
      </c>
      <c r="C908" s="17" t="s">
        <v>843</v>
      </c>
      <c r="D908" s="7" t="s">
        <v>3670</v>
      </c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6">
        <v>907.0</v>
      </c>
      <c r="B909" s="17" t="s">
        <v>850</v>
      </c>
      <c r="C909" s="17" t="s">
        <v>852</v>
      </c>
      <c r="D909" s="7" t="s">
        <v>3671</v>
      </c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6">
        <v>908.0</v>
      </c>
      <c r="B910" s="17" t="s">
        <v>858</v>
      </c>
      <c r="C910" s="17" t="s">
        <v>861</v>
      </c>
      <c r="D910" s="7" t="s">
        <v>3672</v>
      </c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6">
        <v>909.0</v>
      </c>
      <c r="B911" s="17" t="s">
        <v>866</v>
      </c>
      <c r="C911" s="17" t="s">
        <v>869</v>
      </c>
      <c r="D911" s="7" t="s">
        <v>3591</v>
      </c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6">
        <v>910.0</v>
      </c>
      <c r="B912" s="17" t="s">
        <v>875</v>
      </c>
      <c r="C912" s="17" t="s">
        <v>824</v>
      </c>
      <c r="D912" s="7" t="s">
        <v>3673</v>
      </c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6">
        <v>911.0</v>
      </c>
      <c r="B913" s="17" t="s">
        <v>885</v>
      </c>
      <c r="C913" s="17" t="s">
        <v>843</v>
      </c>
      <c r="D913" s="7" t="s">
        <v>3674</v>
      </c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6">
        <v>912.0</v>
      </c>
      <c r="B914" s="17" t="s">
        <v>891</v>
      </c>
      <c r="C914" s="17" t="s">
        <v>843</v>
      </c>
      <c r="D914" s="7" t="s">
        <v>3675</v>
      </c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6">
        <v>913.0</v>
      </c>
      <c r="B915" s="17" t="s">
        <v>899</v>
      </c>
      <c r="C915" s="17" t="s">
        <v>852</v>
      </c>
      <c r="D915" s="7" t="s">
        <v>3676</v>
      </c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6">
        <v>914.0</v>
      </c>
      <c r="B916" s="17" t="s">
        <v>908</v>
      </c>
      <c r="C916" s="17" t="s">
        <v>836</v>
      </c>
      <c r="D916" s="7" t="s">
        <v>3677</v>
      </c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6">
        <v>915.0</v>
      </c>
      <c r="B917" s="17" t="s">
        <v>917</v>
      </c>
      <c r="C917" s="17" t="s">
        <v>861</v>
      </c>
      <c r="D917" s="7" t="s">
        <v>3678</v>
      </c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6">
        <v>916.0</v>
      </c>
      <c r="B918" s="17" t="s">
        <v>924</v>
      </c>
      <c r="C918" s="17" t="s">
        <v>852</v>
      </c>
      <c r="D918" s="7" t="s">
        <v>3679</v>
      </c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6">
        <v>917.0</v>
      </c>
      <c r="B919" s="17" t="s">
        <v>933</v>
      </c>
      <c r="C919" s="17" t="s">
        <v>836</v>
      </c>
      <c r="D919" s="7" t="s">
        <v>3680</v>
      </c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6">
        <v>918.0</v>
      </c>
      <c r="B920" s="17" t="s">
        <v>939</v>
      </c>
      <c r="C920" s="17" t="s">
        <v>836</v>
      </c>
      <c r="D920" s="7" t="s">
        <v>3681</v>
      </c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6">
        <v>919.0</v>
      </c>
      <c r="B921" s="17" t="s">
        <v>945</v>
      </c>
      <c r="C921" s="17" t="s">
        <v>824</v>
      </c>
      <c r="D921" s="7" t="s">
        <v>3682</v>
      </c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6">
        <v>920.0</v>
      </c>
      <c r="B922" s="17" t="s">
        <v>954</v>
      </c>
      <c r="C922" s="17" t="s">
        <v>869</v>
      </c>
      <c r="D922" s="7" t="s">
        <v>3683</v>
      </c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6">
        <v>921.0</v>
      </c>
      <c r="B923" s="17" t="s">
        <v>959</v>
      </c>
      <c r="C923" s="17" t="s">
        <v>861</v>
      </c>
      <c r="D923" s="7" t="s">
        <v>3684</v>
      </c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6">
        <v>922.0</v>
      </c>
      <c r="B924" s="17" t="s">
        <v>963</v>
      </c>
      <c r="C924" s="17" t="s">
        <v>836</v>
      </c>
      <c r="D924" s="7" t="s">
        <v>3685</v>
      </c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6">
        <v>923.0</v>
      </c>
      <c r="B925" s="17" t="s">
        <v>981</v>
      </c>
      <c r="C925" s="17" t="s">
        <v>843</v>
      </c>
      <c r="D925" s="7" t="s">
        <v>3686</v>
      </c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6">
        <v>924.0</v>
      </c>
      <c r="B926" s="17" t="s">
        <v>985</v>
      </c>
      <c r="C926" s="17" t="s">
        <v>852</v>
      </c>
      <c r="D926" s="7" t="s">
        <v>3687</v>
      </c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6">
        <v>925.0</v>
      </c>
      <c r="B927" s="17" t="s">
        <v>992</v>
      </c>
      <c r="C927" s="17" t="s">
        <v>843</v>
      </c>
      <c r="D927" s="7" t="s">
        <v>3688</v>
      </c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6">
        <v>926.0</v>
      </c>
      <c r="B928" s="17" t="s">
        <v>1005</v>
      </c>
      <c r="C928" s="17" t="s">
        <v>852</v>
      </c>
      <c r="D928" s="7" t="s">
        <v>3689</v>
      </c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6">
        <v>927.0</v>
      </c>
      <c r="B929" s="17" t="s">
        <v>1054</v>
      </c>
      <c r="C929" s="17" t="s">
        <v>652</v>
      </c>
      <c r="D929" s="7" t="s">
        <v>3690</v>
      </c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6">
        <v>928.0</v>
      </c>
      <c r="B930" s="17" t="s">
        <v>1062</v>
      </c>
      <c r="C930" s="17" t="s">
        <v>663</v>
      </c>
      <c r="D930" s="7" t="s">
        <v>3691</v>
      </c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6">
        <v>929.0</v>
      </c>
      <c r="B931" s="17" t="s">
        <v>1072</v>
      </c>
      <c r="C931" s="17" t="s">
        <v>663</v>
      </c>
      <c r="D931" s="7" t="s">
        <v>3692</v>
      </c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6">
        <v>930.0</v>
      </c>
      <c r="B932" s="17" t="s">
        <v>1083</v>
      </c>
      <c r="C932" s="17" t="s">
        <v>774</v>
      </c>
      <c r="D932" s="7" t="s">
        <v>3693</v>
      </c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6">
        <v>931.0</v>
      </c>
      <c r="B933" s="17" t="s">
        <v>1092</v>
      </c>
      <c r="C933" s="17" t="s">
        <v>663</v>
      </c>
      <c r="D933" s="7" t="s">
        <v>3694</v>
      </c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6">
        <v>932.0</v>
      </c>
      <c r="B934" s="17" t="s">
        <v>1101</v>
      </c>
      <c r="C934" s="17" t="s">
        <v>774</v>
      </c>
      <c r="D934" s="7" t="s">
        <v>3695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6">
        <v>933.0</v>
      </c>
      <c r="B935" s="17" t="s">
        <v>1112</v>
      </c>
      <c r="C935" s="17" t="s">
        <v>642</v>
      </c>
      <c r="D935" s="7" t="s">
        <v>3696</v>
      </c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6">
        <v>934.0</v>
      </c>
      <c r="B936" s="17" t="s">
        <v>1120</v>
      </c>
      <c r="C936" s="17" t="s">
        <v>642</v>
      </c>
      <c r="D936" s="7" t="s">
        <v>3697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6">
        <v>935.0</v>
      </c>
      <c r="B937" s="17" t="s">
        <v>1127</v>
      </c>
      <c r="C937" s="17" t="s">
        <v>642</v>
      </c>
      <c r="D937" s="7" t="s">
        <v>3698</v>
      </c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6">
        <v>936.0</v>
      </c>
      <c r="B938" s="17" t="s">
        <v>1133</v>
      </c>
      <c r="C938" s="17" t="s">
        <v>754</v>
      </c>
      <c r="D938" s="7" t="s">
        <v>3699</v>
      </c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6">
        <v>937.0</v>
      </c>
      <c r="B939" s="17" t="s">
        <v>1139</v>
      </c>
      <c r="C939" s="17" t="s">
        <v>663</v>
      </c>
      <c r="D939" s="7" t="s">
        <v>3700</v>
      </c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6">
        <v>938.0</v>
      </c>
      <c r="B940" s="17" t="s">
        <v>1146</v>
      </c>
      <c r="C940" s="17" t="s">
        <v>652</v>
      </c>
      <c r="D940" s="7" t="s">
        <v>3701</v>
      </c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6">
        <v>939.0</v>
      </c>
      <c r="B941" s="17" t="s">
        <v>1153</v>
      </c>
      <c r="C941" s="17" t="s">
        <v>652</v>
      </c>
      <c r="D941" s="7" t="s">
        <v>3702</v>
      </c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6">
        <v>940.0</v>
      </c>
      <c r="B942" s="17" t="s">
        <v>1160</v>
      </c>
      <c r="C942" s="17" t="s">
        <v>754</v>
      </c>
      <c r="D942" s="7" t="s">
        <v>3703</v>
      </c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6">
        <v>941.0</v>
      </c>
      <c r="B943" s="17" t="s">
        <v>1168</v>
      </c>
      <c r="C943" s="17" t="s">
        <v>754</v>
      </c>
      <c r="D943" s="7" t="s">
        <v>3704</v>
      </c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6">
        <v>942.0</v>
      </c>
      <c r="B944" s="17" t="s">
        <v>1177</v>
      </c>
      <c r="C944" s="17" t="s">
        <v>663</v>
      </c>
      <c r="D944" s="7" t="s">
        <v>3705</v>
      </c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6">
        <v>943.0</v>
      </c>
      <c r="B945" s="17" t="s">
        <v>1186</v>
      </c>
      <c r="C945" s="17" t="s">
        <v>1098</v>
      </c>
      <c r="D945" s="7" t="s">
        <v>3706</v>
      </c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6">
        <v>944.0</v>
      </c>
      <c r="B946" s="17" t="s">
        <v>1195</v>
      </c>
      <c r="C946" s="17" t="s">
        <v>1098</v>
      </c>
      <c r="D946" s="7" t="s">
        <v>3707</v>
      </c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6">
        <v>945.0</v>
      </c>
      <c r="B947" s="17" t="s">
        <v>1205</v>
      </c>
      <c r="C947" s="17" t="s">
        <v>1098</v>
      </c>
      <c r="D947" s="7" t="s">
        <v>3708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6">
        <v>946.0</v>
      </c>
      <c r="B948" s="17" t="s">
        <v>1214</v>
      </c>
      <c r="C948" s="17" t="s">
        <v>1084</v>
      </c>
      <c r="D948" s="7" t="s">
        <v>3709</v>
      </c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6">
        <v>947.0</v>
      </c>
      <c r="B949" s="17" t="s">
        <v>1222</v>
      </c>
      <c r="C949" s="17" t="s">
        <v>1084</v>
      </c>
      <c r="D949" s="7" t="s">
        <v>3710</v>
      </c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6">
        <v>948.0</v>
      </c>
      <c r="B950" s="17" t="s">
        <v>1230</v>
      </c>
      <c r="C950" s="17" t="s">
        <v>1084</v>
      </c>
      <c r="D950" s="7" t="s">
        <v>3711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6">
        <v>949.0</v>
      </c>
      <c r="B951" s="17" t="s">
        <v>1243</v>
      </c>
      <c r="C951" s="17" t="s">
        <v>1084</v>
      </c>
      <c r="D951" s="7" t="s">
        <v>3712</v>
      </c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6">
        <v>950.0</v>
      </c>
      <c r="B952" s="17" t="s">
        <v>1251</v>
      </c>
      <c r="C952" s="17" t="s">
        <v>1084</v>
      </c>
      <c r="D952" s="7" t="s">
        <v>3713</v>
      </c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6">
        <v>951.0</v>
      </c>
      <c r="B953" s="17" t="s">
        <v>1255</v>
      </c>
      <c r="C953" s="17" t="s">
        <v>1256</v>
      </c>
      <c r="D953" s="7" t="s">
        <v>3714</v>
      </c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6">
        <v>952.0</v>
      </c>
      <c r="B954" s="17" t="s">
        <v>1258</v>
      </c>
      <c r="C954" s="17" t="s">
        <v>1256</v>
      </c>
      <c r="D954" s="7" t="s">
        <v>3715</v>
      </c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6">
        <v>953.0</v>
      </c>
      <c r="B955" s="17" t="s">
        <v>1260</v>
      </c>
      <c r="C955" s="17" t="s">
        <v>1256</v>
      </c>
      <c r="D955" s="7" t="s">
        <v>3716</v>
      </c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6">
        <v>954.0</v>
      </c>
      <c r="B956" s="17" t="s">
        <v>1262</v>
      </c>
      <c r="C956" s="17" t="s">
        <v>830</v>
      </c>
      <c r="D956" s="7" t="s">
        <v>3717</v>
      </c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6">
        <v>955.0</v>
      </c>
      <c r="B957" s="17" t="s">
        <v>1264</v>
      </c>
      <c r="C957" s="17" t="s">
        <v>830</v>
      </c>
      <c r="D957" s="7" t="s">
        <v>3718</v>
      </c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6">
        <v>956.0</v>
      </c>
      <c r="B958" s="17" t="s">
        <v>1267</v>
      </c>
      <c r="C958" s="17" t="s">
        <v>830</v>
      </c>
      <c r="D958" s="7" t="s">
        <v>3719</v>
      </c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6">
        <v>957.0</v>
      </c>
      <c r="B959" s="17" t="s">
        <v>1269</v>
      </c>
      <c r="C959" s="17" t="s">
        <v>830</v>
      </c>
      <c r="D959" s="7" t="s">
        <v>3720</v>
      </c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6">
        <v>958.0</v>
      </c>
      <c r="B960" s="17" t="s">
        <v>1271</v>
      </c>
      <c r="C960" s="17" t="s">
        <v>1272</v>
      </c>
      <c r="D960" s="7" t="s">
        <v>3721</v>
      </c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6">
        <v>959.0</v>
      </c>
      <c r="B961" s="17" t="s">
        <v>1274</v>
      </c>
      <c r="C961" s="17" t="s">
        <v>830</v>
      </c>
      <c r="D961" s="7" t="s">
        <v>3722</v>
      </c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6">
        <v>960.0</v>
      </c>
      <c r="B962" s="17" t="s">
        <v>1277</v>
      </c>
      <c r="C962" s="17" t="s">
        <v>1272</v>
      </c>
      <c r="D962" s="7" t="s">
        <v>3723</v>
      </c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6">
        <v>961.0</v>
      </c>
      <c r="B963" s="17" t="s">
        <v>1278</v>
      </c>
      <c r="C963" s="17" t="s">
        <v>1272</v>
      </c>
      <c r="D963" s="7" t="s">
        <v>3598</v>
      </c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6">
        <v>962.0</v>
      </c>
      <c r="B964" s="17" t="s">
        <v>1280</v>
      </c>
      <c r="C964" s="17" t="s">
        <v>1256</v>
      </c>
      <c r="D964" s="7" t="s">
        <v>3724</v>
      </c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6">
        <v>963.0</v>
      </c>
      <c r="B965" s="17" t="s">
        <v>1282</v>
      </c>
      <c r="C965" s="17" t="s">
        <v>1283</v>
      </c>
      <c r="D965" s="7" t="s">
        <v>3725</v>
      </c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6">
        <v>964.0</v>
      </c>
      <c r="B966" s="17" t="s">
        <v>1285</v>
      </c>
      <c r="C966" s="17" t="s">
        <v>1283</v>
      </c>
      <c r="D966" s="7" t="s">
        <v>3726</v>
      </c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6">
        <v>965.0</v>
      </c>
      <c r="B967" s="17" t="s">
        <v>1287</v>
      </c>
      <c r="C967" s="17" t="s">
        <v>1283</v>
      </c>
      <c r="D967" s="7" t="s">
        <v>3727</v>
      </c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6">
        <v>966.0</v>
      </c>
      <c r="B968" s="17" t="s">
        <v>1289</v>
      </c>
      <c r="C968" s="17" t="s">
        <v>1283</v>
      </c>
      <c r="D968" s="7" t="s">
        <v>3728</v>
      </c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6">
        <v>967.0</v>
      </c>
      <c r="B969" s="17" t="s">
        <v>1291</v>
      </c>
      <c r="C969" s="17" t="s">
        <v>1272</v>
      </c>
      <c r="D969" s="7" t="s">
        <v>3729</v>
      </c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6">
        <v>968.0</v>
      </c>
      <c r="B970" s="17" t="s">
        <v>1293</v>
      </c>
      <c r="C970" s="17" t="s">
        <v>830</v>
      </c>
      <c r="D970" s="7" t="s">
        <v>3730</v>
      </c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6">
        <v>969.0</v>
      </c>
      <c r="B971" s="17" t="s">
        <v>1297</v>
      </c>
      <c r="C971" s="17" t="s">
        <v>830</v>
      </c>
      <c r="D971" s="7" t="s">
        <v>3731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6">
        <v>970.0</v>
      </c>
      <c r="B972" s="17" t="s">
        <v>1299</v>
      </c>
      <c r="C972" s="17" t="s">
        <v>703</v>
      </c>
      <c r="D972" s="7" t="s">
        <v>3732</v>
      </c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6">
        <v>971.0</v>
      </c>
      <c r="B973" s="17" t="s">
        <v>1301</v>
      </c>
      <c r="C973" s="17" t="s">
        <v>795</v>
      </c>
      <c r="D973" s="7" t="s">
        <v>3733</v>
      </c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6">
        <v>972.0</v>
      </c>
      <c r="B974" s="17" t="s">
        <v>1303</v>
      </c>
      <c r="C974" s="17" t="s">
        <v>795</v>
      </c>
      <c r="D974" s="7" t="s">
        <v>3734</v>
      </c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6">
        <v>973.0</v>
      </c>
      <c r="B975" s="17" t="s">
        <v>1305</v>
      </c>
      <c r="C975" s="17" t="s">
        <v>703</v>
      </c>
      <c r="D975" s="7" t="s">
        <v>3735</v>
      </c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6">
        <v>974.0</v>
      </c>
      <c r="B976" s="17" t="s">
        <v>1307</v>
      </c>
      <c r="C976" s="17" t="s">
        <v>703</v>
      </c>
      <c r="D976" s="7" t="s">
        <v>3736</v>
      </c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6">
        <v>975.0</v>
      </c>
      <c r="B977" s="17" t="s">
        <v>1309</v>
      </c>
      <c r="C977" s="17" t="s">
        <v>1310</v>
      </c>
      <c r="D977" s="7" t="s">
        <v>3737</v>
      </c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6">
        <v>976.0</v>
      </c>
      <c r="B978" s="17" t="s">
        <v>1312</v>
      </c>
      <c r="C978" s="17" t="s">
        <v>1310</v>
      </c>
      <c r="D978" s="7" t="s">
        <v>3738</v>
      </c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6">
        <v>977.0</v>
      </c>
      <c r="B979" s="17" t="s">
        <v>1314</v>
      </c>
      <c r="C979" s="17" t="s">
        <v>703</v>
      </c>
      <c r="D979" s="7" t="s">
        <v>3739</v>
      </c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6">
        <v>978.0</v>
      </c>
      <c r="B980" s="17" t="s">
        <v>1316</v>
      </c>
      <c r="C980" s="17" t="s">
        <v>703</v>
      </c>
      <c r="D980" s="7" t="s">
        <v>3740</v>
      </c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6">
        <v>979.0</v>
      </c>
      <c r="B981" s="17" t="s">
        <v>1318</v>
      </c>
      <c r="C981" s="17" t="s">
        <v>795</v>
      </c>
      <c r="D981" s="7" t="s">
        <v>3741</v>
      </c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6">
        <v>980.0</v>
      </c>
      <c r="B982" s="17" t="s">
        <v>1320</v>
      </c>
      <c r="C982" s="17" t="s">
        <v>1321</v>
      </c>
      <c r="D982" s="7" t="s">
        <v>3742</v>
      </c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6">
        <v>981.0</v>
      </c>
      <c r="B983" s="17" t="s">
        <v>1323</v>
      </c>
      <c r="C983" s="17" t="s">
        <v>1321</v>
      </c>
      <c r="D983" s="7" t="s">
        <v>3743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6">
        <v>982.0</v>
      </c>
      <c r="B984" s="17" t="s">
        <v>1325</v>
      </c>
      <c r="C984" s="17" t="s">
        <v>1321</v>
      </c>
      <c r="D984" s="7" t="s">
        <v>3744</v>
      </c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6">
        <v>983.0</v>
      </c>
      <c r="B985" s="17" t="s">
        <v>1327</v>
      </c>
      <c r="C985" s="17" t="s">
        <v>31</v>
      </c>
      <c r="D985" s="7" t="s">
        <v>3745</v>
      </c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6">
        <v>984.0</v>
      </c>
      <c r="B986" s="17" t="s">
        <v>1329</v>
      </c>
      <c r="C986" s="17" t="s">
        <v>1321</v>
      </c>
      <c r="D986" s="7" t="s">
        <v>3746</v>
      </c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6">
        <v>985.0</v>
      </c>
      <c r="B987" s="17" t="s">
        <v>1332</v>
      </c>
      <c r="C987" s="17" t="s">
        <v>1310</v>
      </c>
      <c r="D987" s="7" t="s">
        <v>3747</v>
      </c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6">
        <v>986.0</v>
      </c>
      <c r="B988" s="17" t="s">
        <v>1336</v>
      </c>
      <c r="C988" s="17" t="s">
        <v>1310</v>
      </c>
      <c r="D988" s="7" t="s">
        <v>3748</v>
      </c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6">
        <v>987.0</v>
      </c>
      <c r="B989" s="17" t="s">
        <v>1340</v>
      </c>
      <c r="C989" s="17" t="s">
        <v>948</v>
      </c>
      <c r="D989" s="7" t="s">
        <v>3749</v>
      </c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6">
        <v>988.0</v>
      </c>
      <c r="B990" s="17" t="s">
        <v>1349</v>
      </c>
      <c r="C990" s="17" t="s">
        <v>948</v>
      </c>
      <c r="D990" s="7" t="s">
        <v>3750</v>
      </c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6">
        <v>989.0</v>
      </c>
      <c r="B991" s="17" t="s">
        <v>1357</v>
      </c>
      <c r="C991" s="17" t="s">
        <v>948</v>
      </c>
      <c r="D991" s="7" t="s">
        <v>3751</v>
      </c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6">
        <v>990.0</v>
      </c>
      <c r="B992" s="17" t="s">
        <v>1361</v>
      </c>
      <c r="C992" s="17" t="s">
        <v>1369</v>
      </c>
      <c r="D992" s="7" t="s">
        <v>3752</v>
      </c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6">
        <v>991.0</v>
      </c>
      <c r="B993" s="17" t="s">
        <v>1374</v>
      </c>
      <c r="C993" s="17" t="s">
        <v>619</v>
      </c>
      <c r="D993" s="7" t="s">
        <v>3753</v>
      </c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6">
        <v>992.0</v>
      </c>
      <c r="B994" s="17" t="s">
        <v>1381</v>
      </c>
      <c r="C994" s="17" t="s">
        <v>619</v>
      </c>
      <c r="D994" s="7" t="s">
        <v>3754</v>
      </c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6">
        <v>993.0</v>
      </c>
      <c r="B995" s="17" t="s">
        <v>1389</v>
      </c>
      <c r="C995" s="17" t="s">
        <v>619</v>
      </c>
      <c r="D995" s="7" t="s">
        <v>3755</v>
      </c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6">
        <v>994.0</v>
      </c>
      <c r="B996" s="17" t="s">
        <v>1397</v>
      </c>
      <c r="C996" s="17" t="s">
        <v>619</v>
      </c>
      <c r="D996" s="7" t="s">
        <v>3756</v>
      </c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6">
        <v>995.0</v>
      </c>
      <c r="B997" s="17" t="s">
        <v>1404</v>
      </c>
      <c r="C997" s="17" t="s">
        <v>1407</v>
      </c>
      <c r="D997" s="7" t="s">
        <v>3757</v>
      </c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6">
        <v>996.0</v>
      </c>
      <c r="B998" s="17" t="s">
        <v>1425</v>
      </c>
      <c r="C998" s="17" t="s">
        <v>1407</v>
      </c>
      <c r="D998" s="7" t="s">
        <v>3758</v>
      </c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6">
        <v>997.0</v>
      </c>
      <c r="B999" s="17" t="s">
        <v>1432</v>
      </c>
      <c r="C999" s="17" t="s">
        <v>1407</v>
      </c>
      <c r="D999" s="7" t="s">
        <v>3759</v>
      </c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6">
        <v>998.0</v>
      </c>
      <c r="B1000" s="17" t="s">
        <v>1440</v>
      </c>
      <c r="C1000" s="17" t="s">
        <v>1407</v>
      </c>
      <c r="D1000" s="7" t="s">
        <v>3760</v>
      </c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16">
        <v>999.0</v>
      </c>
      <c r="B1001" s="17" t="s">
        <v>1450</v>
      </c>
      <c r="C1001" s="17" t="s">
        <v>1407</v>
      </c>
      <c r="D1001" s="7" t="s">
        <v>3761</v>
      </c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16">
        <v>1000.0</v>
      </c>
      <c r="B1002" s="17" t="s">
        <v>1458</v>
      </c>
      <c r="C1002" s="17" t="s">
        <v>1369</v>
      </c>
      <c r="D1002" s="7" t="s">
        <v>3762</v>
      </c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16">
        <v>1001.0</v>
      </c>
      <c r="B1003" s="17" t="s">
        <v>1471</v>
      </c>
      <c r="C1003" s="17" t="s">
        <v>1369</v>
      </c>
      <c r="D1003" s="7" t="s">
        <v>3730</v>
      </c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16">
        <v>1002.0</v>
      </c>
      <c r="B1004" s="17" t="s">
        <v>1478</v>
      </c>
      <c r="C1004" s="17" t="s">
        <v>1407</v>
      </c>
      <c r="D1004" s="7" t="s">
        <v>3763</v>
      </c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16">
        <v>1003.0</v>
      </c>
      <c r="B1005" s="17" t="s">
        <v>1492</v>
      </c>
      <c r="C1005" s="17" t="s">
        <v>1493</v>
      </c>
      <c r="D1005" s="7" t="s">
        <v>3764</v>
      </c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16">
        <v>1004.0</v>
      </c>
      <c r="B1006" s="17" t="s">
        <v>1497</v>
      </c>
      <c r="C1006" s="17" t="s">
        <v>1479</v>
      </c>
      <c r="D1006" s="7" t="s">
        <v>3765</v>
      </c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16">
        <v>1005.0</v>
      </c>
      <c r="B1007" s="17" t="s">
        <v>1502</v>
      </c>
      <c r="C1007" s="17" t="s">
        <v>1493</v>
      </c>
      <c r="D1007" s="7" t="s">
        <v>3766</v>
      </c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16">
        <v>1006.0</v>
      </c>
      <c r="B1008" s="17" t="s">
        <v>1508</v>
      </c>
      <c r="C1008" s="17" t="s">
        <v>1493</v>
      </c>
      <c r="D1008" s="7" t="s">
        <v>3767</v>
      </c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16">
        <v>1007.0</v>
      </c>
      <c r="B1009" s="17" t="s">
        <v>1513</v>
      </c>
      <c r="C1009" s="17" t="s">
        <v>32</v>
      </c>
      <c r="D1009" s="7" t="s">
        <v>3768</v>
      </c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16">
        <v>1008.0</v>
      </c>
      <c r="B1010" s="17" t="s">
        <v>1517</v>
      </c>
      <c r="C1010" s="17" t="s">
        <v>32</v>
      </c>
      <c r="D1010" s="7" t="s">
        <v>3769</v>
      </c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16">
        <v>1009.0</v>
      </c>
      <c r="B1011" s="17" t="s">
        <v>1522</v>
      </c>
      <c r="C1011" s="17" t="s">
        <v>1479</v>
      </c>
      <c r="D1011" s="7" t="s">
        <v>3770</v>
      </c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16">
        <v>1010.0</v>
      </c>
      <c r="B1012" s="17" t="s">
        <v>1526</v>
      </c>
      <c r="C1012" s="17" t="s">
        <v>1479</v>
      </c>
      <c r="D1012" s="7" t="s">
        <v>3771</v>
      </c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16">
        <v>1011.0</v>
      </c>
      <c r="B1013" s="17" t="s">
        <v>1532</v>
      </c>
      <c r="C1013" s="17" t="s">
        <v>1479</v>
      </c>
      <c r="D1013" s="7" t="s">
        <v>3772</v>
      </c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16">
        <v>1012.0</v>
      </c>
      <c r="B1014" s="17" t="s">
        <v>1537</v>
      </c>
      <c r="C1014" s="17" t="s">
        <v>1538</v>
      </c>
      <c r="D1014" s="7" t="s">
        <v>3773</v>
      </c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16">
        <v>1013.0</v>
      </c>
      <c r="B1015" s="17" t="s">
        <v>1540</v>
      </c>
      <c r="C1015" s="17" t="s">
        <v>1538</v>
      </c>
      <c r="D1015" s="7" t="s">
        <v>3774</v>
      </c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16">
        <v>1014.0</v>
      </c>
      <c r="B1016" s="17" t="s">
        <v>1550</v>
      </c>
      <c r="C1016" s="17" t="s">
        <v>1538</v>
      </c>
      <c r="D1016" s="7" t="s">
        <v>3775</v>
      </c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16">
        <v>1015.0</v>
      </c>
      <c r="B1017" s="17" t="s">
        <v>1554</v>
      </c>
      <c r="C1017" s="17" t="s">
        <v>1452</v>
      </c>
      <c r="D1017" s="7" t="s">
        <v>3776</v>
      </c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16">
        <v>1016.0</v>
      </c>
      <c r="B1018" s="17" t="s">
        <v>1557</v>
      </c>
      <c r="C1018" s="17" t="s">
        <v>1452</v>
      </c>
      <c r="D1018" s="7" t="s">
        <v>3777</v>
      </c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16">
        <v>1017.0</v>
      </c>
      <c r="B1019" s="17" t="s">
        <v>1562</v>
      </c>
      <c r="C1019" s="17" t="s">
        <v>1452</v>
      </c>
      <c r="D1019" s="7" t="s">
        <v>3778</v>
      </c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16">
        <v>1018.0</v>
      </c>
      <c r="B1020" s="17" t="s">
        <v>1567</v>
      </c>
      <c r="C1020" s="17" t="s">
        <v>1452</v>
      </c>
      <c r="D1020" s="7" t="s">
        <v>3779</v>
      </c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16">
        <v>1019.0</v>
      </c>
      <c r="B1021" s="17" t="s">
        <v>1571</v>
      </c>
      <c r="C1021" s="17" t="s">
        <v>883</v>
      </c>
      <c r="D1021" s="7" t="s">
        <v>3780</v>
      </c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16">
        <v>1020.0</v>
      </c>
      <c r="B1022" s="17" t="s">
        <v>1575</v>
      </c>
      <c r="C1022" s="17" t="s">
        <v>883</v>
      </c>
      <c r="D1022" s="7" t="s">
        <v>3781</v>
      </c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16">
        <v>1021.0</v>
      </c>
      <c r="B1023" s="17" t="s">
        <v>1580</v>
      </c>
      <c r="C1023" s="17" t="s">
        <v>883</v>
      </c>
      <c r="D1023" s="7" t="s">
        <v>3782</v>
      </c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16">
        <v>1022.0</v>
      </c>
      <c r="B1024" s="17" t="s">
        <v>1582</v>
      </c>
      <c r="C1024" s="17" t="s">
        <v>883</v>
      </c>
      <c r="D1024" s="7" t="s">
        <v>3783</v>
      </c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16">
        <v>1023.0</v>
      </c>
      <c r="B1025" s="17" t="s">
        <v>1587</v>
      </c>
      <c r="C1025" s="17" t="s">
        <v>864</v>
      </c>
      <c r="D1025" s="7" t="s">
        <v>3784</v>
      </c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16">
        <v>1024.0</v>
      </c>
      <c r="B1026" s="17" t="s">
        <v>1595</v>
      </c>
      <c r="C1026" s="17" t="s">
        <v>864</v>
      </c>
      <c r="D1026" s="7" t="s">
        <v>3785</v>
      </c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16">
        <v>1025.0</v>
      </c>
      <c r="B1027" s="17" t="s">
        <v>1599</v>
      </c>
      <c r="C1027" s="17" t="s">
        <v>864</v>
      </c>
      <c r="D1027" s="7" t="s">
        <v>3786</v>
      </c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>
      <c r="A1028" s="16">
        <v>1026.0</v>
      </c>
      <c r="B1028" s="17" t="s">
        <v>1604</v>
      </c>
      <c r="C1028" s="17" t="s">
        <v>864</v>
      </c>
      <c r="D1028" s="7" t="s">
        <v>3787</v>
      </c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>
      <c r="A1029" s="16">
        <v>1027.0</v>
      </c>
      <c r="B1029" s="17" t="s">
        <v>1611</v>
      </c>
      <c r="C1029" s="17" t="s">
        <v>1452</v>
      </c>
      <c r="D1029" s="7" t="s">
        <v>3788</v>
      </c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>
      <c r="A1030" s="16">
        <v>1028.0</v>
      </c>
      <c r="B1030" s="17" t="s">
        <v>1615</v>
      </c>
      <c r="C1030" s="17" t="s">
        <v>1452</v>
      </c>
      <c r="D1030" s="7" t="s">
        <v>3789</v>
      </c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>
      <c r="A1031" s="16">
        <v>1029.0</v>
      </c>
      <c r="B1031" s="17" t="s">
        <v>1620</v>
      </c>
      <c r="C1031" s="17" t="s">
        <v>1217</v>
      </c>
      <c r="D1031" s="7" t="s">
        <v>3790</v>
      </c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>
      <c r="A1032" s="16">
        <v>1030.0</v>
      </c>
      <c r="B1032" s="17" t="s">
        <v>1625</v>
      </c>
      <c r="C1032" s="17" t="s">
        <v>847</v>
      </c>
      <c r="D1032" s="7" t="s">
        <v>3791</v>
      </c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>
      <c r="A1033" s="16">
        <v>1031.0</v>
      </c>
      <c r="B1033" s="17" t="s">
        <v>1628</v>
      </c>
      <c r="C1033" s="17" t="s">
        <v>847</v>
      </c>
      <c r="D1033" s="7" t="s">
        <v>3671</v>
      </c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>
      <c r="A1034" s="16">
        <v>1032.0</v>
      </c>
      <c r="B1034" s="17" t="s">
        <v>1633</v>
      </c>
      <c r="C1034" s="17" t="s">
        <v>1635</v>
      </c>
      <c r="D1034" s="7" t="s">
        <v>3792</v>
      </c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>
      <c r="A1035" s="16">
        <v>1033.0</v>
      </c>
      <c r="B1035" s="17" t="s">
        <v>1639</v>
      </c>
      <c r="C1035" s="17" t="s">
        <v>1640</v>
      </c>
      <c r="D1035" s="7" t="s">
        <v>3793</v>
      </c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>
      <c r="A1036" s="16">
        <v>1034.0</v>
      </c>
      <c r="B1036" s="17" t="s">
        <v>1644</v>
      </c>
      <c r="C1036" s="17" t="s">
        <v>1640</v>
      </c>
      <c r="D1036" s="7" t="s">
        <v>3794</v>
      </c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>
      <c r="A1037" s="16">
        <v>1035.0</v>
      </c>
      <c r="B1037" s="17" t="s">
        <v>1650</v>
      </c>
      <c r="C1037" s="17" t="s">
        <v>1217</v>
      </c>
      <c r="D1037" s="7" t="s">
        <v>3795</v>
      </c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>
      <c r="A1038" s="16">
        <v>1036.0</v>
      </c>
      <c r="B1038" s="17" t="s">
        <v>1655</v>
      </c>
      <c r="C1038" s="17" t="s">
        <v>1656</v>
      </c>
      <c r="D1038" s="7" t="s">
        <v>3796</v>
      </c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>
      <c r="A1039" s="16">
        <v>1037.0</v>
      </c>
      <c r="B1039" s="17" t="s">
        <v>1660</v>
      </c>
      <c r="C1039" s="17" t="s">
        <v>1656</v>
      </c>
      <c r="D1039" s="7" t="s">
        <v>3797</v>
      </c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>
      <c r="A1040" s="16">
        <v>1038.0</v>
      </c>
      <c r="B1040" s="17" t="s">
        <v>1665</v>
      </c>
      <c r="C1040" s="17" t="s">
        <v>1635</v>
      </c>
      <c r="D1040" s="7" t="s">
        <v>3798</v>
      </c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>
      <c r="A1041" s="16">
        <v>1039.0</v>
      </c>
      <c r="B1041" s="17" t="s">
        <v>1669</v>
      </c>
      <c r="C1041" s="17" t="s">
        <v>1217</v>
      </c>
      <c r="D1041" s="7" t="s">
        <v>3799</v>
      </c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>
      <c r="A1042" s="16">
        <v>1040.0</v>
      </c>
      <c r="B1042" s="17" t="s">
        <v>1674</v>
      </c>
      <c r="C1042" s="17" t="s">
        <v>1445</v>
      </c>
      <c r="D1042" s="7" t="s">
        <v>3800</v>
      </c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>
      <c r="A1043" s="16">
        <v>1041.0</v>
      </c>
      <c r="B1043" s="17" t="s">
        <v>1678</v>
      </c>
      <c r="C1043" s="17" t="s">
        <v>847</v>
      </c>
      <c r="D1043" s="7" t="s">
        <v>3801</v>
      </c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>
      <c r="A1044" s="16">
        <v>1042.0</v>
      </c>
      <c r="B1044" s="17" t="s">
        <v>1684</v>
      </c>
      <c r="C1044" s="17" t="s">
        <v>1640</v>
      </c>
      <c r="D1044" s="7" t="s">
        <v>3802</v>
      </c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>
      <c r="A1045" s="16">
        <v>1043.0</v>
      </c>
      <c r="B1045" s="17" t="s">
        <v>1688</v>
      </c>
      <c r="C1045" s="17" t="s">
        <v>1199</v>
      </c>
      <c r="D1045" s="7" t="s">
        <v>3803</v>
      </c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>
      <c r="A1046" s="16">
        <v>1044.0</v>
      </c>
      <c r="B1046" s="17" t="s">
        <v>1690</v>
      </c>
      <c r="C1046" s="17" t="s">
        <v>1640</v>
      </c>
      <c r="D1046" s="7" t="s">
        <v>3804</v>
      </c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>
      <c r="A1047" s="16">
        <v>1045.0</v>
      </c>
      <c r="B1047" s="17" t="s">
        <v>1695</v>
      </c>
      <c r="C1047" s="17" t="s">
        <v>1635</v>
      </c>
      <c r="D1047" s="7" t="s">
        <v>3805</v>
      </c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>
      <c r="A1048" s="16">
        <v>1046.0</v>
      </c>
      <c r="B1048" s="17" t="s">
        <v>1700</v>
      </c>
      <c r="C1048" s="17" t="s">
        <v>1656</v>
      </c>
      <c r="D1048" s="7" t="s">
        <v>3806</v>
      </c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>
      <c r="A1049" s="16">
        <v>1047.0</v>
      </c>
      <c r="B1049" s="17" t="s">
        <v>1704</v>
      </c>
      <c r="C1049" s="17" t="s">
        <v>1445</v>
      </c>
      <c r="D1049" s="7" t="s">
        <v>3807</v>
      </c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>
      <c r="A1050" s="16">
        <v>1048.0</v>
      </c>
      <c r="B1050" s="17" t="s">
        <v>1708</v>
      </c>
      <c r="C1050" s="17" t="s">
        <v>1709</v>
      </c>
      <c r="D1050" s="7" t="s">
        <v>3808</v>
      </c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>
      <c r="A1051" s="16">
        <v>1049.0</v>
      </c>
      <c r="B1051" s="17" t="s">
        <v>1712</v>
      </c>
      <c r="C1051" s="17" t="s">
        <v>1199</v>
      </c>
      <c r="D1051" s="7" t="s">
        <v>3809</v>
      </c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>
      <c r="A1052" s="16">
        <v>1050.0</v>
      </c>
      <c r="B1052" s="17" t="s">
        <v>1714</v>
      </c>
      <c r="C1052" s="17" t="s">
        <v>1656</v>
      </c>
      <c r="D1052" s="7" t="s">
        <v>3810</v>
      </c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>
      <c r="A1053" s="16">
        <v>1051.0</v>
      </c>
      <c r="B1053" s="17" t="s">
        <v>1716</v>
      </c>
      <c r="C1053" s="17" t="s">
        <v>1445</v>
      </c>
      <c r="D1053" s="7" t="s">
        <v>3811</v>
      </c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>
      <c r="A1054" s="16">
        <v>1052.0</v>
      </c>
      <c r="B1054" s="17" t="s">
        <v>1738</v>
      </c>
      <c r="C1054" s="17" t="s">
        <v>1709</v>
      </c>
      <c r="D1054" s="7" t="s">
        <v>3812</v>
      </c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>
      <c r="A1055" s="16">
        <v>1053.0</v>
      </c>
      <c r="B1055" s="17" t="s">
        <v>1742</v>
      </c>
      <c r="C1055" s="17" t="s">
        <v>1640</v>
      </c>
      <c r="D1055" s="7" t="s">
        <v>3813</v>
      </c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>
      <c r="A1056" s="16">
        <v>1054.0</v>
      </c>
      <c r="B1056" s="17" t="s">
        <v>1746</v>
      </c>
      <c r="C1056" s="17" t="s">
        <v>1217</v>
      </c>
      <c r="D1056" s="7" t="s">
        <v>3814</v>
      </c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>
      <c r="A1057" s="16">
        <v>1055.0</v>
      </c>
      <c r="B1057" s="17" t="s">
        <v>1751</v>
      </c>
      <c r="C1057" s="17" t="s">
        <v>1635</v>
      </c>
      <c r="D1057" s="7" t="s">
        <v>3815</v>
      </c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>
      <c r="A1058" s="16">
        <v>1056.0</v>
      </c>
      <c r="B1058" s="17" t="s">
        <v>1756</v>
      </c>
      <c r="C1058" s="17" t="s">
        <v>1445</v>
      </c>
      <c r="D1058" s="7" t="s">
        <v>3816</v>
      </c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>
      <c r="A1059" s="16">
        <v>1057.0</v>
      </c>
      <c r="B1059" s="17" t="s">
        <v>1760</v>
      </c>
      <c r="C1059" s="17" t="s">
        <v>1709</v>
      </c>
      <c r="D1059" s="7" t="s">
        <v>3817</v>
      </c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>
      <c r="A1060" s="16">
        <v>1058.0</v>
      </c>
      <c r="B1060" s="17" t="s">
        <v>1765</v>
      </c>
      <c r="C1060" s="17" t="s">
        <v>1199</v>
      </c>
      <c r="D1060" s="7" t="s">
        <v>3818</v>
      </c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>
      <c r="A1061" s="16">
        <v>1059.0</v>
      </c>
      <c r="B1061" s="17" t="s">
        <v>1771</v>
      </c>
      <c r="C1061" s="17" t="s">
        <v>1217</v>
      </c>
      <c r="D1061" s="7" t="s">
        <v>3819</v>
      </c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>
      <c r="A1062" s="16">
        <v>1060.0</v>
      </c>
      <c r="B1062" s="17" t="s">
        <v>1775</v>
      </c>
      <c r="C1062" s="17" t="s">
        <v>1776</v>
      </c>
      <c r="D1062" s="7" t="s">
        <v>3820</v>
      </c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>
      <c r="A1063" s="16">
        <v>1061.0</v>
      </c>
      <c r="B1063" s="17" t="s">
        <v>1780</v>
      </c>
      <c r="C1063" s="17" t="s">
        <v>1782</v>
      </c>
      <c r="D1063" s="7" t="s">
        <v>3821</v>
      </c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>
      <c r="A1064" s="16">
        <v>1062.0</v>
      </c>
      <c r="B1064" s="17" t="s">
        <v>1785</v>
      </c>
      <c r="C1064" s="17" t="s">
        <v>585</v>
      </c>
      <c r="D1064" s="7" t="s">
        <v>3822</v>
      </c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>
      <c r="A1065" s="16">
        <v>1063.0</v>
      </c>
      <c r="B1065" s="17" t="s">
        <v>1789</v>
      </c>
      <c r="C1065" s="17" t="s">
        <v>879</v>
      </c>
      <c r="D1065" s="7" t="s">
        <v>3823</v>
      </c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>
      <c r="A1066" s="16">
        <v>1064.0</v>
      </c>
      <c r="B1066" s="17" t="s">
        <v>1793</v>
      </c>
      <c r="C1066" s="17" t="s">
        <v>1233</v>
      </c>
      <c r="D1066" s="7" t="s">
        <v>3824</v>
      </c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>
      <c r="A1067" s="16">
        <v>1065.0</v>
      </c>
      <c r="B1067" s="17" t="s">
        <v>1798</v>
      </c>
      <c r="C1067" s="17" t="s">
        <v>1233</v>
      </c>
      <c r="D1067" s="7" t="s">
        <v>3825</v>
      </c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>
      <c r="A1068" s="16">
        <v>1066.0</v>
      </c>
      <c r="B1068" s="17" t="s">
        <v>1804</v>
      </c>
      <c r="C1068" s="17" t="s">
        <v>879</v>
      </c>
      <c r="D1068" s="7" t="s">
        <v>3826</v>
      </c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>
      <c r="A1069" s="16">
        <v>1067.0</v>
      </c>
      <c r="B1069" s="17" t="s">
        <v>1808</v>
      </c>
      <c r="C1069" s="17" t="s">
        <v>1809</v>
      </c>
      <c r="D1069" s="7" t="s">
        <v>3827</v>
      </c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>
      <c r="A1070" s="16">
        <v>1068.0</v>
      </c>
      <c r="B1070" s="17" t="s">
        <v>1811</v>
      </c>
      <c r="C1070" s="17" t="s">
        <v>1782</v>
      </c>
      <c r="D1070" s="7" t="s">
        <v>3828</v>
      </c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>
      <c r="A1071" s="16">
        <v>1069.0</v>
      </c>
      <c r="B1071" s="17" t="s">
        <v>1816</v>
      </c>
      <c r="C1071" s="17" t="s">
        <v>1819</v>
      </c>
      <c r="D1071" s="7" t="s">
        <v>3829</v>
      </c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>
      <c r="A1072" s="16">
        <v>1070.0</v>
      </c>
      <c r="B1072" s="17" t="s">
        <v>1823</v>
      </c>
      <c r="C1072" s="17" t="s">
        <v>1419</v>
      </c>
      <c r="D1072" s="7" t="s">
        <v>3830</v>
      </c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>
      <c r="A1073" s="16">
        <v>1071.0</v>
      </c>
      <c r="B1073" s="17" t="s">
        <v>1825</v>
      </c>
      <c r="C1073" s="17" t="s">
        <v>1776</v>
      </c>
      <c r="D1073" s="7" t="s">
        <v>3831</v>
      </c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>
      <c r="A1074" s="16">
        <v>1072.0</v>
      </c>
      <c r="B1074" s="17" t="s">
        <v>1830</v>
      </c>
      <c r="C1074" s="17" t="s">
        <v>1512</v>
      </c>
      <c r="D1074" s="7" t="s">
        <v>3832</v>
      </c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>
      <c r="A1075" s="16">
        <v>1073.0</v>
      </c>
      <c r="B1075" s="17" t="s">
        <v>1836</v>
      </c>
      <c r="C1075" s="17" t="s">
        <v>1233</v>
      </c>
      <c r="D1075" s="7" t="s">
        <v>3833</v>
      </c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>
      <c r="A1076" s="16">
        <v>1074.0</v>
      </c>
      <c r="B1076" s="17" t="s">
        <v>1840</v>
      </c>
      <c r="C1076" s="17" t="s">
        <v>1809</v>
      </c>
      <c r="D1076" s="7" t="s">
        <v>3834</v>
      </c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>
      <c r="A1077" s="16">
        <v>1075.0</v>
      </c>
      <c r="B1077" s="17" t="s">
        <v>1846</v>
      </c>
      <c r="C1077" s="17" t="s">
        <v>1233</v>
      </c>
      <c r="D1077" s="7" t="s">
        <v>3835</v>
      </c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>
      <c r="A1078" s="16">
        <v>1076.0</v>
      </c>
      <c r="B1078" s="17" t="s">
        <v>1850</v>
      </c>
      <c r="C1078" s="17" t="s">
        <v>1233</v>
      </c>
      <c r="D1078" s="7" t="s">
        <v>3836</v>
      </c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>
      <c r="A1079" s="16">
        <v>1077.0</v>
      </c>
      <c r="B1079" s="17" t="s">
        <v>1855</v>
      </c>
      <c r="C1079" s="17" t="s">
        <v>1233</v>
      </c>
      <c r="D1079" s="7" t="s">
        <v>3837</v>
      </c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>
      <c r="A1080" s="16">
        <v>1078.0</v>
      </c>
      <c r="B1080" s="17" t="s">
        <v>1859</v>
      </c>
      <c r="C1080" s="17" t="s">
        <v>58</v>
      </c>
      <c r="D1080" s="7" t="s">
        <v>3838</v>
      </c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>
      <c r="A1081" s="16">
        <v>1079.0</v>
      </c>
      <c r="B1081" s="17" t="s">
        <v>1864</v>
      </c>
      <c r="C1081" s="17" t="s">
        <v>524</v>
      </c>
      <c r="D1081" s="7" t="s">
        <v>3839</v>
      </c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>
      <c r="A1082" s="16">
        <v>1080.0</v>
      </c>
      <c r="B1082" s="17" t="s">
        <v>1874</v>
      </c>
      <c r="C1082" s="17" t="s">
        <v>1875</v>
      </c>
      <c r="D1082" s="7" t="s">
        <v>3840</v>
      </c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>
      <c r="A1083" s="16">
        <v>1081.0</v>
      </c>
      <c r="B1083" s="17" t="s">
        <v>1880</v>
      </c>
      <c r="C1083" s="17" t="s">
        <v>1208</v>
      </c>
      <c r="D1083" s="7" t="s">
        <v>3841</v>
      </c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>
      <c r="A1084" s="16">
        <v>1082.0</v>
      </c>
      <c r="B1084" s="17" t="s">
        <v>1890</v>
      </c>
      <c r="C1084" s="17" t="s">
        <v>524</v>
      </c>
      <c r="D1084" s="7" t="s">
        <v>3842</v>
      </c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>
      <c r="A1085" s="16">
        <v>1083.0</v>
      </c>
      <c r="B1085" s="17" t="s">
        <v>1896</v>
      </c>
      <c r="C1085" s="17" t="s">
        <v>58</v>
      </c>
      <c r="D1085" s="7" t="s">
        <v>3843</v>
      </c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>
      <c r="A1086" s="16">
        <v>1084.0</v>
      </c>
      <c r="B1086" s="17" t="s">
        <v>1905</v>
      </c>
      <c r="C1086" s="17" t="s">
        <v>1875</v>
      </c>
      <c r="D1086" s="7" t="s">
        <v>3844</v>
      </c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>
      <c r="A1087" s="16">
        <v>1085.0</v>
      </c>
      <c r="B1087" s="17" t="s">
        <v>1910</v>
      </c>
      <c r="C1087" s="17" t="s">
        <v>695</v>
      </c>
      <c r="D1087" s="7" t="s">
        <v>3845</v>
      </c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>
      <c r="A1088" s="16">
        <v>1086.0</v>
      </c>
      <c r="B1088" s="17" t="s">
        <v>1915</v>
      </c>
      <c r="C1088" s="17" t="s">
        <v>1875</v>
      </c>
      <c r="D1088" s="7" t="s">
        <v>3846</v>
      </c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>
      <c r="A1089" s="16">
        <v>1087.0</v>
      </c>
      <c r="B1089" s="17" t="s">
        <v>1921</v>
      </c>
      <c r="C1089" s="17" t="s">
        <v>816</v>
      </c>
      <c r="D1089" s="7" t="s">
        <v>3847</v>
      </c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>
      <c r="A1090" s="16">
        <v>1088.0</v>
      </c>
      <c r="B1090" s="17" t="s">
        <v>1926</v>
      </c>
      <c r="C1090" s="17" t="s">
        <v>1208</v>
      </c>
      <c r="D1090" s="7" t="s">
        <v>3848</v>
      </c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>
      <c r="A1091" s="16">
        <v>1089.0</v>
      </c>
      <c r="B1091" s="17" t="s">
        <v>1936</v>
      </c>
      <c r="C1091" s="17" t="s">
        <v>1208</v>
      </c>
      <c r="D1091" s="7" t="s">
        <v>3849</v>
      </c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>
      <c r="A1092" s="16">
        <v>1090.0</v>
      </c>
      <c r="B1092" s="17" t="s">
        <v>1941</v>
      </c>
      <c r="C1092" s="17" t="s">
        <v>816</v>
      </c>
      <c r="D1092" s="7" t="s">
        <v>3850</v>
      </c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>
      <c r="A1093" s="16">
        <v>1091.0</v>
      </c>
      <c r="B1093" s="17" t="s">
        <v>1954</v>
      </c>
      <c r="C1093" s="17" t="s">
        <v>524</v>
      </c>
      <c r="D1093" s="7" t="s">
        <v>3851</v>
      </c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>
      <c r="A1094" s="16">
        <v>1092.0</v>
      </c>
      <c r="B1094" s="17" t="s">
        <v>1959</v>
      </c>
      <c r="C1094" s="17" t="s">
        <v>1074</v>
      </c>
      <c r="D1094" s="7" t="s">
        <v>3852</v>
      </c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>
      <c r="A1095" s="16">
        <v>1093.0</v>
      </c>
      <c r="B1095" s="17" t="s">
        <v>1964</v>
      </c>
      <c r="C1095" s="17" t="s">
        <v>1208</v>
      </c>
      <c r="D1095" s="7" t="s">
        <v>3853</v>
      </c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>
      <c r="A1096" s="16">
        <v>1094.0</v>
      </c>
      <c r="B1096" s="17" t="s">
        <v>1969</v>
      </c>
      <c r="C1096" s="17" t="s">
        <v>695</v>
      </c>
      <c r="D1096" s="7" t="s">
        <v>3854</v>
      </c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>
      <c r="A1097" s="16">
        <v>1095.0</v>
      </c>
      <c r="B1097" s="17" t="s">
        <v>1974</v>
      </c>
      <c r="C1097" s="17" t="s">
        <v>58</v>
      </c>
      <c r="D1097" s="7" t="s">
        <v>3855</v>
      </c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>
      <c r="A1098" s="16">
        <v>1096.0</v>
      </c>
      <c r="B1098" s="17" t="s">
        <v>1978</v>
      </c>
      <c r="C1098" s="17" t="s">
        <v>695</v>
      </c>
      <c r="D1098" s="7" t="s">
        <v>3856</v>
      </c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>
      <c r="A1099" s="16">
        <v>1097.0</v>
      </c>
      <c r="B1099" s="17" t="s">
        <v>1983</v>
      </c>
      <c r="C1099" s="17" t="s">
        <v>1074</v>
      </c>
      <c r="D1099" s="7" t="s">
        <v>3857</v>
      </c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>
      <c r="A1100" s="16">
        <v>1098.0</v>
      </c>
      <c r="B1100" s="17" t="s">
        <v>1989</v>
      </c>
      <c r="C1100" s="17" t="s">
        <v>1875</v>
      </c>
      <c r="D1100" s="7" t="s">
        <v>3858</v>
      </c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>
      <c r="A1101" s="16">
        <v>1099.0</v>
      </c>
      <c r="B1101" s="17" t="s">
        <v>1994</v>
      </c>
      <c r="C1101" s="17" t="s">
        <v>524</v>
      </c>
      <c r="D1101" s="7" t="s">
        <v>3859</v>
      </c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  <row r="1102">
      <c r="A1102" s="16">
        <v>1100.0</v>
      </c>
      <c r="B1102" s="17" t="s">
        <v>1998</v>
      </c>
      <c r="C1102" s="17" t="s">
        <v>816</v>
      </c>
      <c r="D1102" s="7" t="s">
        <v>3860</v>
      </c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</row>
    <row r="1103">
      <c r="A1103" s="16">
        <v>1101.0</v>
      </c>
      <c r="B1103" s="17" t="s">
        <v>2001</v>
      </c>
      <c r="C1103" s="17" t="s">
        <v>816</v>
      </c>
      <c r="D1103" s="7" t="s">
        <v>3861</v>
      </c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</row>
    <row r="1104">
      <c r="A1104" s="16">
        <v>1102.0</v>
      </c>
      <c r="B1104" s="17" t="s">
        <v>2005</v>
      </c>
      <c r="C1104" s="17" t="s">
        <v>2006</v>
      </c>
      <c r="D1104" s="7" t="s">
        <v>3862</v>
      </c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</row>
    <row r="1105">
      <c r="A1105" s="16">
        <v>1103.0</v>
      </c>
      <c r="B1105" s="17" t="s">
        <v>2010</v>
      </c>
      <c r="C1105" s="17" t="s">
        <v>2006</v>
      </c>
      <c r="D1105" s="7" t="s">
        <v>3863</v>
      </c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</row>
    <row r="1106">
      <c r="A1106" s="16">
        <v>1104.0</v>
      </c>
      <c r="B1106" s="17" t="s">
        <v>2019</v>
      </c>
      <c r="C1106" s="17" t="s">
        <v>1074</v>
      </c>
      <c r="D1106" s="7" t="s">
        <v>3864</v>
      </c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</row>
    <row r="1107">
      <c r="A1107" s="16">
        <v>1105.0</v>
      </c>
      <c r="B1107" s="17" t="s">
        <v>2023</v>
      </c>
      <c r="C1107" s="17" t="s">
        <v>58</v>
      </c>
      <c r="D1107" s="7" t="s">
        <v>3865</v>
      </c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</row>
    <row r="1108">
      <c r="A1108" s="16">
        <v>1106.0</v>
      </c>
      <c r="B1108" s="17" t="s">
        <v>2032</v>
      </c>
      <c r="C1108" s="17" t="s">
        <v>58</v>
      </c>
      <c r="D1108" s="7" t="s">
        <v>3866</v>
      </c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</row>
    <row r="1109">
      <c r="A1109" s="16">
        <v>1107.0</v>
      </c>
      <c r="B1109" s="17" t="s">
        <v>2038</v>
      </c>
      <c r="C1109" s="17" t="s">
        <v>2039</v>
      </c>
      <c r="D1109" s="7" t="s">
        <v>3867</v>
      </c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</row>
    <row r="1110">
      <c r="A1110" s="16">
        <v>1108.0</v>
      </c>
      <c r="B1110" s="17" t="s">
        <v>2044</v>
      </c>
      <c r="C1110" s="17" t="s">
        <v>2039</v>
      </c>
      <c r="D1110" s="7" t="s">
        <v>3868</v>
      </c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</row>
    <row r="1111">
      <c r="A1111" s="16">
        <v>1109.0</v>
      </c>
      <c r="B1111" s="17" t="s">
        <v>2047</v>
      </c>
      <c r="C1111" s="17" t="s">
        <v>2039</v>
      </c>
      <c r="D1111" s="7" t="s">
        <v>3869</v>
      </c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</row>
    <row r="1112">
      <c r="A1112" s="16">
        <v>1110.0</v>
      </c>
      <c r="B1112" s="17" t="s">
        <v>2052</v>
      </c>
      <c r="C1112" s="17" t="s">
        <v>2039</v>
      </c>
      <c r="D1112" s="7" t="s">
        <v>3870</v>
      </c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</row>
    <row r="1113">
      <c r="A1113" s="16">
        <v>1111.0</v>
      </c>
      <c r="B1113" s="17" t="s">
        <v>2057</v>
      </c>
      <c r="C1113" s="17" t="s">
        <v>7</v>
      </c>
      <c r="D1113" s="7" t="s">
        <v>3871</v>
      </c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</row>
    <row r="1114">
      <c r="A1114" s="16">
        <v>1112.0</v>
      </c>
      <c r="B1114" s="17" t="s">
        <v>2059</v>
      </c>
      <c r="C1114" s="17" t="s">
        <v>7</v>
      </c>
      <c r="D1114" s="7" t="s">
        <v>3872</v>
      </c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</row>
    <row r="1115">
      <c r="A1115" s="16">
        <v>1113.0</v>
      </c>
      <c r="B1115" s="17" t="s">
        <v>2063</v>
      </c>
      <c r="C1115" s="17" t="s">
        <v>7</v>
      </c>
      <c r="D1115" s="7" t="s">
        <v>3873</v>
      </c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</row>
    <row r="1116">
      <c r="A1116" s="16">
        <v>1114.0</v>
      </c>
      <c r="B1116" s="17" t="s">
        <v>2069</v>
      </c>
      <c r="C1116" s="17" t="s">
        <v>7</v>
      </c>
      <c r="D1116" s="7" t="s">
        <v>3874</v>
      </c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</row>
    <row r="1117">
      <c r="A1117" s="16">
        <v>1115.0</v>
      </c>
      <c r="B1117" s="17" t="s">
        <v>2074</v>
      </c>
      <c r="C1117" s="17" t="s">
        <v>7</v>
      </c>
      <c r="D1117" s="7" t="s">
        <v>3875</v>
      </c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</row>
    <row r="1118">
      <c r="A1118" s="16">
        <v>1116.0</v>
      </c>
      <c r="B1118" s="17" t="s">
        <v>2079</v>
      </c>
      <c r="C1118" s="17" t="s">
        <v>1181</v>
      </c>
      <c r="D1118" s="7" t="s">
        <v>3876</v>
      </c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</row>
    <row r="1119">
      <c r="A1119" s="16">
        <v>1117.0</v>
      </c>
      <c r="B1119" s="17" t="s">
        <v>2084</v>
      </c>
      <c r="C1119" s="17" t="s">
        <v>1181</v>
      </c>
      <c r="D1119" s="7" t="s">
        <v>3877</v>
      </c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</row>
    <row r="1120">
      <c r="A1120" s="16">
        <v>1118.0</v>
      </c>
      <c r="B1120" s="17" t="s">
        <v>2091</v>
      </c>
      <c r="C1120" s="17" t="s">
        <v>1181</v>
      </c>
      <c r="D1120" s="7" t="s">
        <v>3878</v>
      </c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</row>
    <row r="1121">
      <c r="A1121" s="16">
        <v>1119.0</v>
      </c>
      <c r="B1121" s="17" t="s">
        <v>2095</v>
      </c>
      <c r="C1121" s="17" t="s">
        <v>7</v>
      </c>
      <c r="D1121" s="7" t="s">
        <v>3879</v>
      </c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</row>
    <row r="1122">
      <c r="A1122" s="16">
        <v>1120.0</v>
      </c>
      <c r="B1122" s="17" t="s">
        <v>2100</v>
      </c>
      <c r="C1122" s="17" t="s">
        <v>1181</v>
      </c>
      <c r="D1122" s="7" t="s">
        <v>3880</v>
      </c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</row>
    <row r="1123">
      <c r="A1123" s="16">
        <v>1121.0</v>
      </c>
      <c r="B1123" s="17" t="s">
        <v>2105</v>
      </c>
      <c r="C1123" s="17" t="s">
        <v>2107</v>
      </c>
      <c r="D1123" s="7" t="s">
        <v>3881</v>
      </c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</row>
    <row r="1124">
      <c r="A1124" s="16">
        <v>1122.0</v>
      </c>
      <c r="B1124" s="17" t="s">
        <v>2112</v>
      </c>
      <c r="C1124" s="17" t="s">
        <v>2107</v>
      </c>
      <c r="D1124" s="7" t="s">
        <v>3882</v>
      </c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</row>
    <row r="1125">
      <c r="A1125" s="16">
        <v>1123.0</v>
      </c>
      <c r="B1125" s="17" t="s">
        <v>2116</v>
      </c>
      <c r="C1125" s="17" t="s">
        <v>2107</v>
      </c>
      <c r="D1125" s="7" t="s">
        <v>3883</v>
      </c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</row>
    <row r="1126">
      <c r="A1126" s="16">
        <v>1124.0</v>
      </c>
      <c r="B1126" s="17" t="s">
        <v>2126</v>
      </c>
      <c r="C1126" s="17" t="s">
        <v>2107</v>
      </c>
      <c r="D1126" s="7" t="s">
        <v>3884</v>
      </c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</row>
    <row r="1127">
      <c r="A1127" s="16">
        <v>1125.0</v>
      </c>
      <c r="B1127" s="17" t="s">
        <v>2132</v>
      </c>
      <c r="C1127" s="17" t="s">
        <v>1190</v>
      </c>
      <c r="D1127" s="7" t="s">
        <v>3885</v>
      </c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</row>
    <row r="1128">
      <c r="A1128" s="16">
        <v>1126.0</v>
      </c>
      <c r="B1128" s="17" t="s">
        <v>2138</v>
      </c>
      <c r="C1128" s="17" t="s">
        <v>1190</v>
      </c>
      <c r="D1128" s="7" t="s">
        <v>3886</v>
      </c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</row>
    <row r="1129">
      <c r="A1129" s="16">
        <v>1127.0</v>
      </c>
      <c r="B1129" s="17" t="s">
        <v>2149</v>
      </c>
      <c r="C1129" s="17" t="s">
        <v>1190</v>
      </c>
      <c r="D1129" s="7" t="s">
        <v>3887</v>
      </c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</row>
    <row r="1130">
      <c r="A1130" s="16">
        <v>1128.0</v>
      </c>
      <c r="B1130" s="17" t="s">
        <v>2154</v>
      </c>
      <c r="C1130" s="17" t="s">
        <v>1190</v>
      </c>
      <c r="D1130" s="7" t="s">
        <v>3888</v>
      </c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</row>
    <row r="1131">
      <c r="A1131" s="16">
        <v>1129.0</v>
      </c>
      <c r="B1131" s="17" t="s">
        <v>2163</v>
      </c>
      <c r="C1131" s="17" t="s">
        <v>135</v>
      </c>
      <c r="D1131" s="7" t="s">
        <v>3889</v>
      </c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</row>
    <row r="1132">
      <c r="A1132" s="16">
        <v>1130.0</v>
      </c>
      <c r="B1132" s="17" t="s">
        <v>2168</v>
      </c>
      <c r="C1132" s="17" t="s">
        <v>100</v>
      </c>
      <c r="D1132" s="7" t="s">
        <v>3890</v>
      </c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</row>
    <row r="1133">
      <c r="A1133" s="16">
        <v>1131.0</v>
      </c>
      <c r="B1133" s="17" t="s">
        <v>2180</v>
      </c>
      <c r="C1133" s="17" t="s">
        <v>1109</v>
      </c>
      <c r="D1133" s="7" t="s">
        <v>3891</v>
      </c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</row>
    <row r="1134">
      <c r="A1134" s="16">
        <v>1132.0</v>
      </c>
      <c r="B1134" s="17" t="s">
        <v>2184</v>
      </c>
      <c r="C1134" s="17" t="s">
        <v>1109</v>
      </c>
      <c r="D1134" s="7" t="s">
        <v>3892</v>
      </c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</row>
    <row r="1135">
      <c r="A1135" s="16">
        <v>1133.0</v>
      </c>
      <c r="B1135" s="17" t="s">
        <v>2186</v>
      </c>
      <c r="C1135" s="17" t="s">
        <v>1109</v>
      </c>
      <c r="D1135" s="7" t="s">
        <v>3893</v>
      </c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</row>
    <row r="1136">
      <c r="A1136" s="16">
        <v>1134.0</v>
      </c>
      <c r="B1136" s="17" t="s">
        <v>2194</v>
      </c>
      <c r="C1136" s="17" t="s">
        <v>773</v>
      </c>
      <c r="D1136" s="7" t="s">
        <v>3894</v>
      </c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</row>
    <row r="1137">
      <c r="A1137" s="16">
        <v>1135.0</v>
      </c>
      <c r="B1137" s="17" t="s">
        <v>2198</v>
      </c>
      <c r="C1137" s="17" t="s">
        <v>773</v>
      </c>
      <c r="D1137" s="7" t="s">
        <v>3895</v>
      </c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</row>
    <row r="1138">
      <c r="A1138" s="16">
        <v>1136.0</v>
      </c>
      <c r="B1138" s="17" t="s">
        <v>2202</v>
      </c>
      <c r="C1138" s="17" t="s">
        <v>773</v>
      </c>
      <c r="D1138" s="7" t="s">
        <v>3896</v>
      </c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</row>
    <row r="1139">
      <c r="A1139" s="16">
        <v>1137.0</v>
      </c>
      <c r="B1139" s="17" t="s">
        <v>2210</v>
      </c>
      <c r="C1139" s="17" t="s">
        <v>1215</v>
      </c>
      <c r="D1139" s="7" t="s">
        <v>3897</v>
      </c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</row>
    <row r="1140">
      <c r="A1140" s="16">
        <v>1138.0</v>
      </c>
      <c r="B1140" s="17" t="s">
        <v>2216</v>
      </c>
      <c r="C1140" s="17" t="s">
        <v>1215</v>
      </c>
      <c r="D1140" s="7" t="s">
        <v>3898</v>
      </c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</row>
    <row r="1141">
      <c r="A1141" s="16">
        <v>1139.0</v>
      </c>
      <c r="B1141" s="17" t="s">
        <v>2219</v>
      </c>
      <c r="C1141" s="17" t="s">
        <v>1215</v>
      </c>
      <c r="D1141" s="7" t="s">
        <v>3899</v>
      </c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</row>
    <row r="1142">
      <c r="A1142" s="16">
        <v>1140.0</v>
      </c>
      <c r="B1142" s="17" t="s">
        <v>2224</v>
      </c>
      <c r="C1142" s="17" t="s">
        <v>342</v>
      </c>
      <c r="D1142" s="7" t="s">
        <v>3900</v>
      </c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</row>
    <row r="1143">
      <c r="A1143" s="16">
        <v>1141.0</v>
      </c>
      <c r="B1143" s="17" t="s">
        <v>2227</v>
      </c>
      <c r="C1143" s="17" t="s">
        <v>1109</v>
      </c>
      <c r="D1143" s="7" t="s">
        <v>3592</v>
      </c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</row>
    <row r="1144">
      <c r="A1144" s="16">
        <v>1142.0</v>
      </c>
      <c r="B1144" s="17" t="s">
        <v>2232</v>
      </c>
      <c r="C1144" s="17" t="s">
        <v>1109</v>
      </c>
      <c r="D1144" s="7" t="s">
        <v>3901</v>
      </c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</row>
    <row r="1145">
      <c r="A1145" s="16">
        <v>1143.0</v>
      </c>
      <c r="B1145" s="17" t="s">
        <v>2237</v>
      </c>
      <c r="C1145" s="17" t="s">
        <v>342</v>
      </c>
      <c r="D1145" s="7" t="s">
        <v>3902</v>
      </c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</row>
    <row r="1146">
      <c r="A1146" s="16">
        <v>1144.0</v>
      </c>
      <c r="B1146" s="17" t="s">
        <v>2243</v>
      </c>
      <c r="C1146" s="17" t="s">
        <v>342</v>
      </c>
      <c r="D1146" s="7" t="s">
        <v>3903</v>
      </c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</row>
    <row r="1147">
      <c r="A1147" s="16">
        <v>1145.0</v>
      </c>
      <c r="B1147" s="17" t="s">
        <v>2249</v>
      </c>
      <c r="C1147" s="17" t="s">
        <v>10</v>
      </c>
      <c r="D1147" s="7" t="s">
        <v>3904</v>
      </c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</row>
    <row r="1148">
      <c r="A1148" s="16">
        <v>1146.0</v>
      </c>
      <c r="B1148" s="17" t="s">
        <v>2257</v>
      </c>
      <c r="C1148" s="17" t="s">
        <v>10</v>
      </c>
      <c r="D1148" s="7" t="s">
        <v>3905</v>
      </c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</row>
    <row r="1149">
      <c r="A1149" s="16">
        <v>1147.0</v>
      </c>
      <c r="B1149" s="17" t="s">
        <v>2262</v>
      </c>
      <c r="C1149" s="17" t="s">
        <v>762</v>
      </c>
      <c r="D1149" s="7" t="s">
        <v>3906</v>
      </c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</row>
    <row r="1150">
      <c r="A1150" s="16">
        <v>1148.0</v>
      </c>
      <c r="B1150" s="17" t="s">
        <v>2267</v>
      </c>
      <c r="C1150" s="17" t="s">
        <v>762</v>
      </c>
      <c r="D1150" s="7" t="s">
        <v>3907</v>
      </c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</row>
    <row r="1151">
      <c r="A1151" s="16">
        <v>1149.0</v>
      </c>
      <c r="B1151" s="17" t="s">
        <v>2271</v>
      </c>
      <c r="C1151" s="17" t="s">
        <v>762</v>
      </c>
      <c r="D1151" s="7" t="s">
        <v>3908</v>
      </c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</row>
    <row r="1152">
      <c r="A1152" s="16">
        <v>1150.0</v>
      </c>
      <c r="B1152" s="17" t="s">
        <v>2276</v>
      </c>
      <c r="C1152" s="17" t="s">
        <v>762</v>
      </c>
      <c r="D1152" s="7" t="s">
        <v>3909</v>
      </c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</row>
    <row r="1153">
      <c r="A1153" s="16">
        <v>1151.0</v>
      </c>
      <c r="B1153" s="17" t="s">
        <v>2281</v>
      </c>
      <c r="C1153" s="17" t="s">
        <v>762</v>
      </c>
      <c r="D1153" s="7" t="s">
        <v>3910</v>
      </c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</row>
    <row r="1154">
      <c r="A1154" s="16">
        <v>1152.0</v>
      </c>
      <c r="B1154" s="17" t="s">
        <v>2286</v>
      </c>
      <c r="C1154" s="17" t="s">
        <v>342</v>
      </c>
      <c r="D1154" s="7" t="s">
        <v>3911</v>
      </c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</row>
    <row r="1155">
      <c r="A1155" s="16">
        <v>1153.0</v>
      </c>
      <c r="B1155" s="17" t="s">
        <v>2291</v>
      </c>
      <c r="C1155" s="17" t="s">
        <v>1089</v>
      </c>
      <c r="D1155" s="7" t="s">
        <v>3912</v>
      </c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</row>
    <row r="1156">
      <c r="A1156" s="16">
        <v>1154.0</v>
      </c>
      <c r="B1156" s="17" t="s">
        <v>2296</v>
      </c>
      <c r="C1156" s="17" t="s">
        <v>1089</v>
      </c>
      <c r="D1156" s="7" t="s">
        <v>3913</v>
      </c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</row>
    <row r="1157">
      <c r="A1157" s="16">
        <v>1155.0</v>
      </c>
      <c r="B1157" s="17" t="s">
        <v>2300</v>
      </c>
      <c r="C1157" s="17" t="s">
        <v>1089</v>
      </c>
      <c r="D1157" s="7" t="s">
        <v>3914</v>
      </c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</row>
    <row r="1158">
      <c r="A1158" s="16">
        <v>1156.0</v>
      </c>
      <c r="B1158" s="17" t="s">
        <v>2306</v>
      </c>
      <c r="C1158" s="17" t="s">
        <v>762</v>
      </c>
      <c r="D1158" s="7" t="s">
        <v>3915</v>
      </c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</row>
    <row r="1159">
      <c r="A1159" s="16">
        <v>1157.0</v>
      </c>
      <c r="B1159" s="17" t="s">
        <v>2310</v>
      </c>
      <c r="C1159" s="17" t="s">
        <v>10</v>
      </c>
      <c r="D1159" s="7" t="s">
        <v>3916</v>
      </c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</row>
    <row r="1160">
      <c r="A1160" s="16">
        <v>1158.0</v>
      </c>
      <c r="B1160" s="17" t="s">
        <v>2313</v>
      </c>
      <c r="C1160" s="17" t="s">
        <v>1089</v>
      </c>
      <c r="D1160" s="7" t="s">
        <v>3917</v>
      </c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</row>
    <row r="1161">
      <c r="A1161" s="16">
        <v>1159.0</v>
      </c>
      <c r="B1161" s="17" t="s">
        <v>2320</v>
      </c>
      <c r="C1161" s="17" t="s">
        <v>1343</v>
      </c>
      <c r="D1161" s="7" t="s">
        <v>3918</v>
      </c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</row>
    <row r="1162">
      <c r="A1162" s="16">
        <v>1160.0</v>
      </c>
      <c r="B1162" s="17" t="s">
        <v>2322</v>
      </c>
      <c r="C1162" s="17" t="s">
        <v>1343</v>
      </c>
      <c r="D1162" s="7" t="s">
        <v>3919</v>
      </c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</row>
    <row r="1163">
      <c r="A1163" s="16">
        <v>1161.0</v>
      </c>
      <c r="B1163" s="17" t="s">
        <v>2325</v>
      </c>
      <c r="C1163" s="17" t="s">
        <v>1343</v>
      </c>
      <c r="D1163" s="7" t="s">
        <v>3920</v>
      </c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</row>
    <row r="1164">
      <c r="A1164" s="16">
        <v>1162.0</v>
      </c>
      <c r="B1164" s="17" t="s">
        <v>2328</v>
      </c>
      <c r="C1164" s="17" t="s">
        <v>781</v>
      </c>
      <c r="D1164" s="7" t="s">
        <v>3921</v>
      </c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</row>
    <row r="1165">
      <c r="A1165" s="16">
        <v>1163.0</v>
      </c>
      <c r="B1165" s="17" t="s">
        <v>2333</v>
      </c>
      <c r="C1165" s="17" t="s">
        <v>781</v>
      </c>
      <c r="D1165" s="7" t="s">
        <v>3922</v>
      </c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</row>
    <row r="1166">
      <c r="A1166" s="16">
        <v>1164.0</v>
      </c>
      <c r="B1166" s="17" t="s">
        <v>2338</v>
      </c>
      <c r="C1166" s="17" t="s">
        <v>781</v>
      </c>
      <c r="D1166" s="7" t="s">
        <v>3923</v>
      </c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</row>
    <row r="1167">
      <c r="A1167" s="16">
        <v>1165.0</v>
      </c>
      <c r="B1167" s="17" t="s">
        <v>2342</v>
      </c>
      <c r="C1167" s="17" t="s">
        <v>781</v>
      </c>
      <c r="D1167" s="7" t="s">
        <v>3924</v>
      </c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</row>
    <row r="1168">
      <c r="A1168" s="16">
        <v>1166.0</v>
      </c>
      <c r="B1168" s="17" t="s">
        <v>2351</v>
      </c>
      <c r="C1168" s="17" t="s">
        <v>10</v>
      </c>
      <c r="D1168" s="7" t="s">
        <v>3925</v>
      </c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</row>
    <row r="1169">
      <c r="A1169" s="16">
        <v>1167.0</v>
      </c>
      <c r="B1169" s="17" t="s">
        <v>2359</v>
      </c>
      <c r="C1169" s="17" t="s">
        <v>716</v>
      </c>
      <c r="D1169" s="7" t="s">
        <v>3926</v>
      </c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</row>
    <row r="1170">
      <c r="A1170" s="16">
        <v>1168.0</v>
      </c>
      <c r="B1170" s="17" t="s">
        <v>2365</v>
      </c>
      <c r="C1170" s="17" t="s">
        <v>738</v>
      </c>
      <c r="D1170" s="7" t="s">
        <v>3927</v>
      </c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</row>
    <row r="1171">
      <c r="A1171" s="16">
        <v>1169.0</v>
      </c>
      <c r="B1171" s="17" t="s">
        <v>2369</v>
      </c>
      <c r="C1171" s="17" t="s">
        <v>738</v>
      </c>
      <c r="D1171" s="7" t="s">
        <v>3928</v>
      </c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</row>
    <row r="1172">
      <c r="A1172" s="16">
        <v>1170.0</v>
      </c>
      <c r="B1172" s="17" t="s">
        <v>2371</v>
      </c>
      <c r="C1172" s="17" t="s">
        <v>909</v>
      </c>
      <c r="D1172" s="7" t="s">
        <v>3929</v>
      </c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</row>
    <row r="1173">
      <c r="A1173" s="16">
        <v>1171.0</v>
      </c>
      <c r="B1173" s="17" t="s">
        <v>2373</v>
      </c>
      <c r="C1173" s="17" t="s">
        <v>1348</v>
      </c>
      <c r="D1173" s="7" t="s">
        <v>3930</v>
      </c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</row>
    <row r="1174">
      <c r="A1174" s="16">
        <v>1172.0</v>
      </c>
      <c r="B1174" s="17" t="s">
        <v>2375</v>
      </c>
      <c r="C1174" s="17" t="s">
        <v>1348</v>
      </c>
      <c r="D1174" s="7" t="s">
        <v>3931</v>
      </c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</row>
    <row r="1175">
      <c r="A1175" s="16">
        <v>1173.0</v>
      </c>
      <c r="B1175" s="17" t="s">
        <v>2377</v>
      </c>
      <c r="C1175" s="17" t="s">
        <v>1348</v>
      </c>
      <c r="D1175" s="7" t="s">
        <v>3932</v>
      </c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</row>
    <row r="1176">
      <c r="A1176" s="16">
        <v>1174.0</v>
      </c>
      <c r="B1176" s="17" t="s">
        <v>2379</v>
      </c>
      <c r="C1176" s="17" t="s">
        <v>1410</v>
      </c>
      <c r="D1176" s="7" t="s">
        <v>3933</v>
      </c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</row>
    <row r="1177">
      <c r="A1177" s="16">
        <v>1175.0</v>
      </c>
      <c r="B1177" s="17" t="s">
        <v>2381</v>
      </c>
      <c r="C1177" s="17" t="s">
        <v>716</v>
      </c>
      <c r="D1177" s="7" t="s">
        <v>3934</v>
      </c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</row>
    <row r="1178">
      <c r="A1178" s="16">
        <v>1176.0</v>
      </c>
      <c r="B1178" s="17" t="s">
        <v>2383</v>
      </c>
      <c r="C1178" s="17" t="s">
        <v>1410</v>
      </c>
      <c r="D1178" s="7" t="s">
        <v>3935</v>
      </c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</row>
    <row r="1179">
      <c r="A1179" s="16">
        <v>1177.0</v>
      </c>
      <c r="B1179" s="17" t="s">
        <v>2385</v>
      </c>
      <c r="C1179" s="17" t="s">
        <v>1410</v>
      </c>
      <c r="D1179" s="7" t="s">
        <v>3936</v>
      </c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</row>
    <row r="1180">
      <c r="A1180" s="16">
        <v>1178.0</v>
      </c>
      <c r="B1180" s="17" t="s">
        <v>2387</v>
      </c>
      <c r="C1180" s="17" t="s">
        <v>909</v>
      </c>
      <c r="D1180" s="7" t="s">
        <v>3937</v>
      </c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</row>
    <row r="1181">
      <c r="A1181" s="16">
        <v>1179.0</v>
      </c>
      <c r="B1181" s="17" t="s">
        <v>2389</v>
      </c>
      <c r="C1181" s="17" t="s">
        <v>738</v>
      </c>
      <c r="D1181" s="7" t="s">
        <v>3938</v>
      </c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</row>
    <row r="1182">
      <c r="A1182" s="16">
        <v>1180.0</v>
      </c>
      <c r="B1182" s="17" t="s">
        <v>2391</v>
      </c>
      <c r="C1182" s="17" t="s">
        <v>1410</v>
      </c>
      <c r="D1182" s="7" t="s">
        <v>3939</v>
      </c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</row>
    <row r="1183">
      <c r="A1183" s="16">
        <v>1181.0</v>
      </c>
      <c r="B1183" s="17" t="s">
        <v>2393</v>
      </c>
      <c r="C1183" s="17" t="s">
        <v>909</v>
      </c>
      <c r="D1183" s="7" t="s">
        <v>3940</v>
      </c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</row>
    <row r="1184">
      <c r="A1184" s="16">
        <v>1182.0</v>
      </c>
      <c r="B1184" s="17" t="s">
        <v>2395</v>
      </c>
      <c r="C1184" s="17" t="s">
        <v>909</v>
      </c>
      <c r="D1184" s="7" t="s">
        <v>3941</v>
      </c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</row>
    <row r="1185">
      <c r="A1185" s="16">
        <v>1183.0</v>
      </c>
      <c r="B1185" s="17" t="s">
        <v>2397</v>
      </c>
      <c r="C1185" s="17" t="s">
        <v>716</v>
      </c>
      <c r="D1185" s="7" t="s">
        <v>3942</v>
      </c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</row>
    <row r="1186">
      <c r="A1186" s="16">
        <v>1184.0</v>
      </c>
      <c r="B1186" s="17" t="s">
        <v>2399</v>
      </c>
      <c r="C1186" s="17" t="s">
        <v>738</v>
      </c>
      <c r="D1186" s="7" t="s">
        <v>3943</v>
      </c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</row>
    <row r="1187">
      <c r="A1187" s="16">
        <v>1185.0</v>
      </c>
      <c r="B1187" s="17" t="s">
        <v>2401</v>
      </c>
      <c r="C1187" s="17" t="s">
        <v>716</v>
      </c>
      <c r="D1187" s="7" t="s">
        <v>3944</v>
      </c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</row>
    <row r="1188">
      <c r="A1188" s="16">
        <v>1186.0</v>
      </c>
      <c r="B1188" s="17" t="s">
        <v>2403</v>
      </c>
      <c r="C1188" s="17" t="s">
        <v>738</v>
      </c>
      <c r="D1188" s="7" t="s">
        <v>3945</v>
      </c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</row>
    <row r="1189">
      <c r="A1189" s="16">
        <v>1187.0</v>
      </c>
      <c r="B1189" s="17" t="s">
        <v>2405</v>
      </c>
      <c r="C1189" s="17" t="s">
        <v>1410</v>
      </c>
      <c r="D1189" s="7" t="s">
        <v>3946</v>
      </c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</row>
    <row r="1190">
      <c r="A1190" s="16">
        <v>1188.0</v>
      </c>
      <c r="B1190" s="17" t="s">
        <v>2407</v>
      </c>
      <c r="C1190" s="17" t="s">
        <v>738</v>
      </c>
      <c r="D1190" s="7" t="s">
        <v>3947</v>
      </c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</row>
    <row r="1191">
      <c r="A1191" s="16">
        <v>1189.0</v>
      </c>
      <c r="B1191" s="17" t="s">
        <v>2409</v>
      </c>
      <c r="C1191" s="17" t="s">
        <v>1647</v>
      </c>
      <c r="D1191" s="7" t="s">
        <v>3948</v>
      </c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</row>
    <row r="1192">
      <c r="A1192" s="16">
        <v>1190.0</v>
      </c>
      <c r="B1192" s="17" t="s">
        <v>2411</v>
      </c>
      <c r="C1192" s="17" t="s">
        <v>1647</v>
      </c>
      <c r="D1192" s="7" t="s">
        <v>3949</v>
      </c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</row>
    <row r="1193">
      <c r="A1193" s="16">
        <v>1191.0</v>
      </c>
      <c r="B1193" s="17" t="s">
        <v>2413</v>
      </c>
      <c r="C1193" s="17" t="s">
        <v>944</v>
      </c>
      <c r="D1193" s="7" t="s">
        <v>3950</v>
      </c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</row>
    <row r="1194">
      <c r="A1194" s="16">
        <v>1192.0</v>
      </c>
      <c r="B1194" s="17" t="s">
        <v>2415</v>
      </c>
      <c r="C1194" s="17" t="s">
        <v>729</v>
      </c>
      <c r="D1194" s="7" t="s">
        <v>3951</v>
      </c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</row>
    <row r="1195">
      <c r="A1195" s="16">
        <v>1193.0</v>
      </c>
      <c r="B1195" s="17" t="s">
        <v>2417</v>
      </c>
      <c r="C1195" s="17" t="s">
        <v>729</v>
      </c>
      <c r="D1195" s="7" t="s">
        <v>3952</v>
      </c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</row>
    <row r="1196">
      <c r="A1196" s="16">
        <v>1194.0</v>
      </c>
      <c r="B1196" s="17" t="s">
        <v>2419</v>
      </c>
      <c r="C1196" s="17" t="s">
        <v>729</v>
      </c>
      <c r="D1196" s="7" t="s">
        <v>3953</v>
      </c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</row>
    <row r="1197">
      <c r="A1197" s="16">
        <v>1195.0</v>
      </c>
      <c r="B1197" s="17" t="s">
        <v>2421</v>
      </c>
      <c r="C1197" s="17" t="s">
        <v>729</v>
      </c>
      <c r="D1197" s="7" t="s">
        <v>3954</v>
      </c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</row>
    <row r="1198">
      <c r="A1198" s="16">
        <v>1196.0</v>
      </c>
      <c r="B1198" s="17" t="s">
        <v>2423</v>
      </c>
      <c r="C1198" s="17" t="s">
        <v>1647</v>
      </c>
      <c r="D1198" s="7" t="s">
        <v>3955</v>
      </c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</row>
    <row r="1199">
      <c r="A1199" s="16">
        <v>1197.0</v>
      </c>
      <c r="B1199" s="17" t="s">
        <v>2425</v>
      </c>
      <c r="C1199" s="17" t="s">
        <v>1647</v>
      </c>
      <c r="D1199" s="7" t="s">
        <v>3956</v>
      </c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</row>
    <row r="1200">
      <c r="A1200" s="16">
        <v>1198.0</v>
      </c>
      <c r="B1200" s="17" t="s">
        <v>2427</v>
      </c>
      <c r="C1200" s="17" t="s">
        <v>1993</v>
      </c>
      <c r="D1200" s="7" t="s">
        <v>3957</v>
      </c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</row>
    <row r="1201">
      <c r="A1201" s="16">
        <v>1199.0</v>
      </c>
      <c r="B1201" s="17" t="s">
        <v>2429</v>
      </c>
      <c r="C1201" s="17" t="s">
        <v>1606</v>
      </c>
      <c r="D1201" s="7" t="s">
        <v>3958</v>
      </c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</row>
    <row r="1202">
      <c r="A1202" s="16">
        <v>1200.0</v>
      </c>
      <c r="B1202" s="17" t="s">
        <v>2431</v>
      </c>
      <c r="C1202" s="17" t="s">
        <v>1993</v>
      </c>
      <c r="D1202" s="7" t="s">
        <v>3959</v>
      </c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</row>
    <row r="1203">
      <c r="A1203" s="16">
        <v>1201.0</v>
      </c>
      <c r="B1203" s="17" t="s">
        <v>2433</v>
      </c>
      <c r="C1203" s="17" t="s">
        <v>1606</v>
      </c>
      <c r="D1203" s="7" t="s">
        <v>3960</v>
      </c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</row>
    <row r="1204">
      <c r="A1204" s="16">
        <v>1202.0</v>
      </c>
      <c r="B1204" s="17" t="s">
        <v>2435</v>
      </c>
      <c r="C1204" s="17" t="s">
        <v>944</v>
      </c>
      <c r="D1204" s="7" t="s">
        <v>3961</v>
      </c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</row>
    <row r="1205">
      <c r="A1205" s="16">
        <v>1203.0</v>
      </c>
      <c r="B1205" s="17" t="s">
        <v>2437</v>
      </c>
      <c r="C1205" s="17" t="s">
        <v>1993</v>
      </c>
      <c r="D1205" s="7" t="s">
        <v>3962</v>
      </c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</row>
    <row r="1206">
      <c r="A1206" s="16">
        <v>1204.0</v>
      </c>
      <c r="B1206" s="17" t="s">
        <v>2440</v>
      </c>
      <c r="C1206" s="17" t="s">
        <v>944</v>
      </c>
      <c r="D1206" s="7" t="s">
        <v>3963</v>
      </c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</row>
    <row r="1207">
      <c r="A1207" s="16">
        <v>1205.0</v>
      </c>
      <c r="B1207" s="17" t="s">
        <v>2442</v>
      </c>
      <c r="C1207" s="17" t="s">
        <v>944</v>
      </c>
      <c r="D1207" s="7" t="s">
        <v>3964</v>
      </c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</row>
    <row r="1208">
      <c r="A1208" s="16">
        <v>1206.0</v>
      </c>
      <c r="B1208" s="17" t="s">
        <v>2446</v>
      </c>
      <c r="C1208" s="17" t="s">
        <v>944</v>
      </c>
      <c r="D1208" s="7" t="s">
        <v>3965</v>
      </c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</row>
    <row r="1209">
      <c r="A1209" s="16">
        <v>1207.0</v>
      </c>
      <c r="B1209" s="17" t="s">
        <v>2452</v>
      </c>
      <c r="C1209" s="17" t="s">
        <v>944</v>
      </c>
      <c r="D1209" s="7" t="s">
        <v>3966</v>
      </c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</row>
    <row r="1210">
      <c r="A1210" s="16">
        <v>1208.0</v>
      </c>
      <c r="B1210" s="17" t="s">
        <v>2457</v>
      </c>
      <c r="C1210" s="17" t="s">
        <v>536</v>
      </c>
      <c r="D1210" s="7" t="s">
        <v>3967</v>
      </c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</row>
    <row r="1211">
      <c r="A1211" s="16">
        <v>1209.0</v>
      </c>
      <c r="B1211" s="17" t="s">
        <v>2462</v>
      </c>
      <c r="C1211" s="17" t="s">
        <v>536</v>
      </c>
      <c r="D1211" s="7" t="s">
        <v>3968</v>
      </c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</row>
    <row r="1212">
      <c r="A1212" s="16">
        <v>1210.0</v>
      </c>
      <c r="B1212" s="17" t="s">
        <v>2467</v>
      </c>
      <c r="C1212" s="17" t="s">
        <v>536</v>
      </c>
      <c r="D1212" s="7" t="s">
        <v>3596</v>
      </c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</row>
    <row r="1213">
      <c r="A1213" s="16">
        <v>1211.0</v>
      </c>
      <c r="B1213" s="17" t="s">
        <v>2471</v>
      </c>
      <c r="C1213" s="17" t="s">
        <v>944</v>
      </c>
      <c r="D1213" s="7" t="s">
        <v>3969</v>
      </c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</row>
    <row r="1214">
      <c r="A1214" s="16">
        <v>1212.0</v>
      </c>
      <c r="B1214" s="17" t="s">
        <v>2476</v>
      </c>
      <c r="C1214" s="17" t="s">
        <v>1606</v>
      </c>
      <c r="D1214" s="7" t="s">
        <v>3970</v>
      </c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</row>
    <row r="1215">
      <c r="A1215" s="16">
        <v>1213.0</v>
      </c>
      <c r="B1215" s="17" t="s">
        <v>2484</v>
      </c>
      <c r="C1215" s="17" t="s">
        <v>1076</v>
      </c>
      <c r="D1215" s="7" t="s">
        <v>3971</v>
      </c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</row>
    <row r="1216">
      <c r="A1216" s="16">
        <v>1214.0</v>
      </c>
      <c r="B1216" s="17" t="s">
        <v>2491</v>
      </c>
      <c r="C1216" s="17" t="s">
        <v>1435</v>
      </c>
      <c r="D1216" s="7" t="s">
        <v>3972</v>
      </c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</row>
    <row r="1217">
      <c r="A1217" s="16">
        <v>1215.0</v>
      </c>
      <c r="B1217" s="17" t="s">
        <v>2497</v>
      </c>
      <c r="C1217" s="17" t="s">
        <v>2345</v>
      </c>
      <c r="D1217" s="7" t="s">
        <v>3973</v>
      </c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</row>
    <row r="1218">
      <c r="A1218" s="16">
        <v>1216.0</v>
      </c>
      <c r="B1218" s="17" t="s">
        <v>2501</v>
      </c>
      <c r="C1218" s="17" t="s">
        <v>1014</v>
      </c>
      <c r="D1218" s="7" t="s">
        <v>3974</v>
      </c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</row>
    <row r="1219">
      <c r="A1219" s="16">
        <v>1217.0</v>
      </c>
      <c r="B1219" s="17" t="s">
        <v>2505</v>
      </c>
      <c r="C1219" s="17" t="s">
        <v>2139</v>
      </c>
      <c r="D1219" s="7" t="s">
        <v>3975</v>
      </c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</row>
    <row r="1220">
      <c r="A1220" s="16">
        <v>1218.0</v>
      </c>
      <c r="B1220" s="17" t="s">
        <v>2510</v>
      </c>
      <c r="C1220" s="17" t="s">
        <v>67</v>
      </c>
      <c r="D1220" s="7" t="s">
        <v>3976</v>
      </c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</row>
    <row r="1221">
      <c r="A1221" s="16">
        <v>1219.0</v>
      </c>
      <c r="B1221" s="17" t="s">
        <v>2514</v>
      </c>
      <c r="C1221" s="17" t="s">
        <v>2139</v>
      </c>
      <c r="D1221" s="7" t="s">
        <v>3977</v>
      </c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</row>
    <row r="1222">
      <c r="A1222" s="16">
        <v>1220.0</v>
      </c>
      <c r="B1222" s="17" t="s">
        <v>2520</v>
      </c>
      <c r="C1222" s="17" t="s">
        <v>2345</v>
      </c>
      <c r="D1222" s="7" t="s">
        <v>3978</v>
      </c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</row>
    <row r="1223">
      <c r="A1223" s="16">
        <v>1221.0</v>
      </c>
      <c r="B1223" s="17" t="s">
        <v>2524</v>
      </c>
      <c r="C1223" s="17" t="s">
        <v>1014</v>
      </c>
      <c r="D1223" s="7" t="s">
        <v>3979</v>
      </c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</row>
    <row r="1224">
      <c r="A1224" s="16">
        <v>1222.0</v>
      </c>
      <c r="B1224" s="17" t="s">
        <v>2530</v>
      </c>
      <c r="C1224" s="17" t="s">
        <v>1435</v>
      </c>
      <c r="D1224" s="7" t="s">
        <v>3980</v>
      </c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</row>
    <row r="1225">
      <c r="A1225" s="16">
        <v>1223.0</v>
      </c>
      <c r="B1225" s="17" t="s">
        <v>2534</v>
      </c>
      <c r="C1225" s="17" t="s">
        <v>67</v>
      </c>
      <c r="D1225" s="7" t="s">
        <v>3981</v>
      </c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</row>
    <row r="1226">
      <c r="A1226" s="16">
        <v>1224.0</v>
      </c>
      <c r="B1226" s="17" t="s">
        <v>2542</v>
      </c>
      <c r="C1226" s="17" t="s">
        <v>1435</v>
      </c>
      <c r="D1226" s="7" t="s">
        <v>3792</v>
      </c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</row>
    <row r="1227">
      <c r="A1227" s="16">
        <v>1225.0</v>
      </c>
      <c r="B1227" s="17" t="s">
        <v>2546</v>
      </c>
      <c r="C1227" s="17" t="s">
        <v>2547</v>
      </c>
      <c r="D1227" s="7" t="s">
        <v>3775</v>
      </c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</row>
    <row r="1228">
      <c r="A1228" s="16">
        <v>1226.0</v>
      </c>
      <c r="B1228" s="17" t="s">
        <v>2550</v>
      </c>
      <c r="C1228" s="17" t="s">
        <v>998</v>
      </c>
      <c r="D1228" s="7" t="s">
        <v>3982</v>
      </c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</row>
    <row r="1229">
      <c r="A1229" s="16">
        <v>1227.0</v>
      </c>
      <c r="B1229" s="17" t="s">
        <v>2555</v>
      </c>
      <c r="C1229" s="17" t="s">
        <v>2547</v>
      </c>
      <c r="D1229" s="7" t="s">
        <v>3983</v>
      </c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</row>
    <row r="1230">
      <c r="A1230" s="16">
        <v>1228.0</v>
      </c>
      <c r="B1230" s="17" t="s">
        <v>2561</v>
      </c>
      <c r="C1230" s="17" t="s">
        <v>1116</v>
      </c>
      <c r="D1230" s="7" t="s">
        <v>3984</v>
      </c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</row>
    <row r="1231">
      <c r="A1231" s="16">
        <v>1229.0</v>
      </c>
      <c r="B1231" s="17" t="s">
        <v>2565</v>
      </c>
      <c r="C1231" s="17" t="s">
        <v>1116</v>
      </c>
      <c r="D1231" s="7" t="s">
        <v>3985</v>
      </c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</row>
    <row r="1232">
      <c r="A1232" s="16">
        <v>1230.0</v>
      </c>
      <c r="B1232" s="17" t="s">
        <v>2569</v>
      </c>
      <c r="C1232" s="17" t="s">
        <v>2571</v>
      </c>
      <c r="D1232" s="7" t="s">
        <v>3986</v>
      </c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</row>
    <row r="1233">
      <c r="A1233" s="16">
        <v>1231.0</v>
      </c>
      <c r="B1233" s="17" t="s">
        <v>2574</v>
      </c>
      <c r="C1233" s="17" t="s">
        <v>63</v>
      </c>
      <c r="D1233" s="7" t="s">
        <v>3987</v>
      </c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</row>
    <row r="1234">
      <c r="A1234" s="16">
        <v>1232.0</v>
      </c>
      <c r="B1234" s="17" t="s">
        <v>2579</v>
      </c>
      <c r="C1234" s="17" t="s">
        <v>63</v>
      </c>
      <c r="D1234" s="7" t="s">
        <v>3988</v>
      </c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</row>
    <row r="1235">
      <c r="A1235" s="16">
        <v>1233.0</v>
      </c>
      <c r="B1235" s="17" t="s">
        <v>2584</v>
      </c>
      <c r="C1235" s="17" t="s">
        <v>1545</v>
      </c>
      <c r="D1235" s="7" t="s">
        <v>3989</v>
      </c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</row>
    <row r="1236">
      <c r="A1236" s="16">
        <v>1234.0</v>
      </c>
      <c r="B1236" s="17" t="s">
        <v>2588</v>
      </c>
      <c r="C1236" s="17" t="s">
        <v>998</v>
      </c>
      <c r="D1236" s="7" t="s">
        <v>3990</v>
      </c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</row>
    <row r="1237">
      <c r="A1237" s="16">
        <v>1235.0</v>
      </c>
      <c r="B1237" s="17" t="s">
        <v>2591</v>
      </c>
      <c r="C1237" s="17" t="s">
        <v>2547</v>
      </c>
      <c r="D1237" s="7" t="s">
        <v>3766</v>
      </c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</row>
    <row r="1238">
      <c r="A1238" s="16">
        <v>1236.0</v>
      </c>
      <c r="B1238" s="17" t="s">
        <v>2595</v>
      </c>
      <c r="C1238" s="17" t="s">
        <v>1545</v>
      </c>
      <c r="D1238" s="7" t="s">
        <v>3991</v>
      </c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</row>
    <row r="1239">
      <c r="A1239" s="16">
        <v>1237.0</v>
      </c>
      <c r="B1239" s="17" t="s">
        <v>2599</v>
      </c>
      <c r="C1239" s="17" t="s">
        <v>998</v>
      </c>
      <c r="D1239" s="7" t="s">
        <v>3992</v>
      </c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</row>
    <row r="1240">
      <c r="A1240" s="16">
        <v>1238.0</v>
      </c>
      <c r="B1240" s="17" t="s">
        <v>2604</v>
      </c>
      <c r="C1240" s="17" t="s">
        <v>998</v>
      </c>
      <c r="D1240" s="7" t="s">
        <v>3993</v>
      </c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</row>
    <row r="1241">
      <c r="A1241" s="16">
        <v>1239.0</v>
      </c>
      <c r="B1241" s="17" t="s">
        <v>2609</v>
      </c>
      <c r="C1241" s="17" t="s">
        <v>1384</v>
      </c>
      <c r="D1241" s="7" t="s">
        <v>3994</v>
      </c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</row>
    <row r="1242">
      <c r="A1242" s="16">
        <v>1240.0</v>
      </c>
      <c r="B1242" s="17" t="s">
        <v>2613</v>
      </c>
      <c r="C1242" s="17" t="s">
        <v>1384</v>
      </c>
      <c r="D1242" s="7" t="s">
        <v>3995</v>
      </c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</row>
    <row r="1243">
      <c r="A1243" s="16">
        <v>1241.0</v>
      </c>
      <c r="B1243" s="17" t="s">
        <v>2617</v>
      </c>
      <c r="C1243" s="17" t="s">
        <v>1384</v>
      </c>
      <c r="D1243" s="7" t="s">
        <v>3662</v>
      </c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</row>
    <row r="1244">
      <c r="A1244" s="16">
        <v>1242.0</v>
      </c>
      <c r="B1244" s="17" t="s">
        <v>2620</v>
      </c>
      <c r="C1244" s="17" t="s">
        <v>1107</v>
      </c>
      <c r="D1244" s="7" t="s">
        <v>3628</v>
      </c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</row>
    <row r="1245">
      <c r="A1245" s="16">
        <v>1243.0</v>
      </c>
      <c r="B1245" s="17" t="s">
        <v>2625</v>
      </c>
      <c r="C1245" s="17" t="s">
        <v>679</v>
      </c>
      <c r="D1245" s="7" t="s">
        <v>3996</v>
      </c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</row>
    <row r="1246">
      <c r="A1246" s="16">
        <v>1244.0</v>
      </c>
      <c r="B1246" s="17" t="s">
        <v>2629</v>
      </c>
      <c r="C1246" s="17" t="s">
        <v>1384</v>
      </c>
      <c r="D1246" s="7" t="s">
        <v>3997</v>
      </c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</row>
    <row r="1247">
      <c r="A1247" s="16">
        <v>1245.0</v>
      </c>
      <c r="B1247" s="17" t="s">
        <v>2633</v>
      </c>
      <c r="C1247" s="17" t="s">
        <v>1384</v>
      </c>
      <c r="D1247" s="7" t="s">
        <v>3998</v>
      </c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</row>
    <row r="1248">
      <c r="A1248" s="16">
        <v>1246.0</v>
      </c>
      <c r="B1248" s="17" t="s">
        <v>2638</v>
      </c>
      <c r="C1248" s="17" t="s">
        <v>1384</v>
      </c>
      <c r="D1248" s="7" t="s">
        <v>3999</v>
      </c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</row>
    <row r="1249">
      <c r="A1249" s="16">
        <v>1247.0</v>
      </c>
      <c r="B1249" s="17" t="s">
        <v>2641</v>
      </c>
      <c r="C1249" s="17" t="s">
        <v>1107</v>
      </c>
      <c r="D1249" s="7" t="s">
        <v>4000</v>
      </c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</row>
    <row r="1250">
      <c r="A1250" s="16">
        <v>1248.0</v>
      </c>
      <c r="B1250" s="17" t="s">
        <v>2645</v>
      </c>
      <c r="C1250" s="17" t="s">
        <v>1107</v>
      </c>
      <c r="D1250" s="7" t="s">
        <v>4001</v>
      </c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</row>
    <row r="1251">
      <c r="A1251" s="16">
        <v>1249.0</v>
      </c>
      <c r="B1251" s="17" t="s">
        <v>2651</v>
      </c>
      <c r="C1251" s="17" t="s">
        <v>1107</v>
      </c>
      <c r="D1251" s="7" t="s">
        <v>4002</v>
      </c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</row>
    <row r="1252">
      <c r="A1252" s="16">
        <v>1250.0</v>
      </c>
      <c r="B1252" s="17" t="s">
        <v>2655</v>
      </c>
      <c r="C1252" s="17" t="s">
        <v>1025</v>
      </c>
      <c r="D1252" s="7" t="s">
        <v>4003</v>
      </c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</row>
    <row r="1253">
      <c r="A1253" s="16">
        <v>1251.0</v>
      </c>
      <c r="B1253" s="17" t="s">
        <v>2661</v>
      </c>
      <c r="C1253" s="17" t="s">
        <v>1025</v>
      </c>
      <c r="D1253" s="7" t="s">
        <v>4004</v>
      </c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</row>
    <row r="1254">
      <c r="A1254" s="16">
        <v>1252.0</v>
      </c>
      <c r="B1254" s="17" t="s">
        <v>2665</v>
      </c>
      <c r="C1254" s="17" t="s">
        <v>1025</v>
      </c>
      <c r="D1254" s="7" t="s">
        <v>4005</v>
      </c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</row>
    <row r="1255">
      <c r="A1255" s="16">
        <v>1253.0</v>
      </c>
      <c r="B1255" s="17" t="s">
        <v>2667</v>
      </c>
      <c r="C1255" s="17" t="s">
        <v>1025</v>
      </c>
      <c r="D1255" s="7" t="s">
        <v>4006</v>
      </c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</row>
    <row r="1256">
      <c r="A1256" s="16">
        <v>1254.0</v>
      </c>
      <c r="B1256" s="17" t="s">
        <v>2669</v>
      </c>
      <c r="C1256" s="17" t="s">
        <v>1025</v>
      </c>
      <c r="D1256" s="7" t="s">
        <v>4007</v>
      </c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</row>
    <row r="1257">
      <c r="A1257" s="16">
        <v>1255.0</v>
      </c>
      <c r="B1257" s="17" t="s">
        <v>2672</v>
      </c>
      <c r="C1257" s="17" t="s">
        <v>1025</v>
      </c>
      <c r="D1257" s="7" t="s">
        <v>4008</v>
      </c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</row>
    <row r="1258">
      <c r="A1258" s="16">
        <v>1256.0</v>
      </c>
      <c r="B1258" s="17" t="s">
        <v>2677</v>
      </c>
      <c r="C1258" s="17" t="s">
        <v>1392</v>
      </c>
      <c r="D1258" s="7" t="s">
        <v>4009</v>
      </c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</row>
    <row r="1259">
      <c r="A1259" s="16">
        <v>1257.0</v>
      </c>
      <c r="B1259" s="17" t="s">
        <v>2682</v>
      </c>
      <c r="C1259" s="17" t="s">
        <v>1392</v>
      </c>
      <c r="D1259" s="7" t="s">
        <v>4010</v>
      </c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</row>
    <row r="1260">
      <c r="A1260" s="16">
        <v>1258.0</v>
      </c>
      <c r="B1260" s="17" t="s">
        <v>2687</v>
      </c>
      <c r="C1260" s="17" t="s">
        <v>1392</v>
      </c>
      <c r="D1260" s="7" t="s">
        <v>4011</v>
      </c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</row>
    <row r="1261">
      <c r="A1261" s="16">
        <v>1259.0</v>
      </c>
      <c r="B1261" s="17" t="s">
        <v>2691</v>
      </c>
      <c r="C1261" s="17" t="s">
        <v>2580</v>
      </c>
      <c r="D1261" s="7" t="s">
        <v>4012</v>
      </c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</row>
    <row r="1262">
      <c r="A1262" s="16">
        <v>1260.0</v>
      </c>
      <c r="B1262" s="17" t="s">
        <v>2696</v>
      </c>
      <c r="C1262" s="17" t="s">
        <v>2580</v>
      </c>
      <c r="D1262" s="7" t="s">
        <v>4013</v>
      </c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</row>
    <row r="1263">
      <c r="A1263" s="16">
        <v>1261.0</v>
      </c>
      <c r="B1263" s="17" t="s">
        <v>2701</v>
      </c>
      <c r="C1263" s="17" t="s">
        <v>2580</v>
      </c>
      <c r="D1263" s="7" t="s">
        <v>4014</v>
      </c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</row>
    <row r="1264">
      <c r="A1264" s="16">
        <v>1262.0</v>
      </c>
      <c r="B1264" s="17" t="s">
        <v>2705</v>
      </c>
      <c r="C1264" s="17" t="s">
        <v>2086</v>
      </c>
      <c r="D1264" s="7" t="s">
        <v>4015</v>
      </c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</row>
    <row r="1265">
      <c r="A1265" s="16">
        <v>1263.0</v>
      </c>
      <c r="B1265" s="17" t="s">
        <v>2713</v>
      </c>
      <c r="C1265" s="17" t="s">
        <v>2086</v>
      </c>
      <c r="D1265" s="7" t="s">
        <v>4016</v>
      </c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</row>
    <row r="1266">
      <c r="A1266" s="16">
        <v>1264.0</v>
      </c>
      <c r="B1266" s="17" t="s">
        <v>2718</v>
      </c>
      <c r="C1266" s="17" t="s">
        <v>2086</v>
      </c>
      <c r="D1266" s="7" t="s">
        <v>4017</v>
      </c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</row>
    <row r="1267">
      <c r="A1267" s="16">
        <v>1265.0</v>
      </c>
      <c r="B1267" s="17" t="s">
        <v>2722</v>
      </c>
      <c r="C1267" s="17" t="s">
        <v>679</v>
      </c>
      <c r="D1267" s="7" t="s">
        <v>4018</v>
      </c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</row>
    <row r="1268">
      <c r="A1268" s="16">
        <v>1266.0</v>
      </c>
      <c r="B1268" s="17" t="s">
        <v>2728</v>
      </c>
      <c r="C1268" s="17" t="s">
        <v>1025</v>
      </c>
      <c r="D1268" s="7" t="s">
        <v>3590</v>
      </c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</row>
    <row r="1269">
      <c r="A1269" s="16">
        <v>1267.0</v>
      </c>
      <c r="B1269" s="17" t="s">
        <v>2731</v>
      </c>
      <c r="C1269" s="17" t="s">
        <v>1392</v>
      </c>
      <c r="D1269" s="7" t="s">
        <v>3601</v>
      </c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</row>
    <row r="1270">
      <c r="A1270" s="16">
        <v>1268.0</v>
      </c>
      <c r="B1270" s="17" t="s">
        <v>2734</v>
      </c>
      <c r="C1270" s="17" t="s">
        <v>679</v>
      </c>
      <c r="D1270" s="7" t="s">
        <v>4019</v>
      </c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</row>
    <row r="1271">
      <c r="A1271" s="16">
        <v>1269.0</v>
      </c>
      <c r="B1271" s="17" t="s">
        <v>2743</v>
      </c>
      <c r="C1271" s="17" t="s">
        <v>17</v>
      </c>
      <c r="D1271" s="7" t="s">
        <v>4020</v>
      </c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</row>
    <row r="1272">
      <c r="A1272" s="16">
        <v>1270.0</v>
      </c>
      <c r="B1272" s="17" t="s">
        <v>2752</v>
      </c>
      <c r="C1272" s="17" t="s">
        <v>135</v>
      </c>
      <c r="D1272" s="7" t="s">
        <v>4021</v>
      </c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</row>
    <row r="1273">
      <c r="A1273" s="16">
        <v>1271.0</v>
      </c>
      <c r="B1273" s="17" t="s">
        <v>2763</v>
      </c>
      <c r="C1273" s="17" t="s">
        <v>17</v>
      </c>
      <c r="D1273" s="7" t="s">
        <v>4022</v>
      </c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</row>
    <row r="1274">
      <c r="A1274" s="16">
        <v>1272.0</v>
      </c>
      <c r="B1274" s="17" t="s">
        <v>2768</v>
      </c>
      <c r="C1274" s="17" t="s">
        <v>135</v>
      </c>
      <c r="D1274" s="7" t="s">
        <v>4023</v>
      </c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</row>
    <row r="1275">
      <c r="A1275" s="16">
        <v>1273.0</v>
      </c>
      <c r="B1275" s="17" t="s">
        <v>2771</v>
      </c>
      <c r="C1275" s="17" t="s">
        <v>73</v>
      </c>
      <c r="D1275" s="7" t="s">
        <v>4024</v>
      </c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</row>
    <row r="1276">
      <c r="A1276" s="16">
        <v>1274.0</v>
      </c>
      <c r="B1276" s="17" t="s">
        <v>2782</v>
      </c>
      <c r="C1276" s="17" t="s">
        <v>17</v>
      </c>
      <c r="D1276" s="7" t="s">
        <v>4025</v>
      </c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</row>
    <row r="1277">
      <c r="A1277" s="16">
        <v>1275.0</v>
      </c>
      <c r="B1277" s="17" t="s">
        <v>2786</v>
      </c>
      <c r="C1277" s="17" t="s">
        <v>73</v>
      </c>
      <c r="D1277" s="7" t="s">
        <v>4026</v>
      </c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</row>
    <row r="1278">
      <c r="A1278" s="16">
        <v>1276.0</v>
      </c>
      <c r="B1278" s="17" t="s">
        <v>2797</v>
      </c>
      <c r="C1278" s="17" t="s">
        <v>73</v>
      </c>
      <c r="D1278" s="7" t="s">
        <v>4027</v>
      </c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</row>
    <row r="1279">
      <c r="A1279" s="16">
        <v>1277.0</v>
      </c>
      <c r="B1279" s="17" t="s">
        <v>2806</v>
      </c>
      <c r="C1279" s="17" t="s">
        <v>238</v>
      </c>
      <c r="D1279" s="7" t="s">
        <v>4028</v>
      </c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</row>
    <row r="1280">
      <c r="A1280" s="16">
        <v>1278.0</v>
      </c>
      <c r="B1280" s="17" t="s">
        <v>2809</v>
      </c>
      <c r="C1280" s="17" t="s">
        <v>238</v>
      </c>
      <c r="D1280" s="7" t="s">
        <v>4029</v>
      </c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</row>
    <row r="1281">
      <c r="A1281" s="16">
        <v>1279.0</v>
      </c>
      <c r="B1281" s="17" t="s">
        <v>2811</v>
      </c>
      <c r="C1281" s="17" t="s">
        <v>283</v>
      </c>
      <c r="D1281" s="7" t="s">
        <v>4030</v>
      </c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</row>
    <row r="1282">
      <c r="A1282" s="16">
        <v>1280.0</v>
      </c>
      <c r="B1282" s="17" t="s">
        <v>2813</v>
      </c>
      <c r="C1282" s="17" t="s">
        <v>24</v>
      </c>
      <c r="D1282" s="7" t="s">
        <v>3812</v>
      </c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</row>
    <row r="1283">
      <c r="A1283" s="16">
        <v>1281.0</v>
      </c>
      <c r="B1283" s="17" t="s">
        <v>2815</v>
      </c>
      <c r="C1283" s="17" t="s">
        <v>24</v>
      </c>
      <c r="D1283" s="7" t="s">
        <v>4031</v>
      </c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</row>
    <row r="1284">
      <c r="A1284" s="16">
        <v>1282.0</v>
      </c>
      <c r="B1284" s="17" t="s">
        <v>2818</v>
      </c>
      <c r="C1284" s="17" t="s">
        <v>24</v>
      </c>
      <c r="D1284" s="7" t="s">
        <v>4032</v>
      </c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</row>
    <row r="1285">
      <c r="A1285" s="16">
        <v>1283.0</v>
      </c>
      <c r="B1285" s="17" t="s">
        <v>2820</v>
      </c>
      <c r="C1285" s="17" t="s">
        <v>283</v>
      </c>
      <c r="D1285" s="7" t="s">
        <v>4033</v>
      </c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</row>
    <row r="1286">
      <c r="A1286" s="16">
        <v>1284.0</v>
      </c>
      <c r="B1286" s="17" t="s">
        <v>2823</v>
      </c>
      <c r="C1286" s="17" t="s">
        <v>283</v>
      </c>
      <c r="D1286" s="7" t="s">
        <v>4034</v>
      </c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</row>
    <row r="1287">
      <c r="A1287" s="16">
        <v>1285.0</v>
      </c>
      <c r="B1287" s="17" t="s">
        <v>2825</v>
      </c>
      <c r="C1287" s="17" t="s">
        <v>1049</v>
      </c>
      <c r="D1287" s="7" t="s">
        <v>4035</v>
      </c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</row>
    <row r="1288">
      <c r="A1288" s="16">
        <v>1286.0</v>
      </c>
      <c r="B1288" s="17" t="s">
        <v>2828</v>
      </c>
      <c r="C1288" s="17" t="s">
        <v>1049</v>
      </c>
      <c r="D1288" s="7" t="s">
        <v>4036</v>
      </c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</row>
    <row r="1289">
      <c r="A1289" s="16">
        <v>1287.0</v>
      </c>
      <c r="B1289" s="17" t="s">
        <v>2830</v>
      </c>
      <c r="C1289" s="17" t="s">
        <v>283</v>
      </c>
      <c r="D1289" s="7" t="s">
        <v>4037</v>
      </c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</row>
    <row r="1290">
      <c r="A1290" s="16">
        <v>1288.0</v>
      </c>
      <c r="B1290" s="17" t="s">
        <v>2833</v>
      </c>
      <c r="C1290" s="17" t="s">
        <v>1066</v>
      </c>
      <c r="D1290" s="7" t="s">
        <v>4038</v>
      </c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</row>
    <row r="1291">
      <c r="A1291" s="16">
        <v>1289.0</v>
      </c>
      <c r="B1291" s="17" t="s">
        <v>2835</v>
      </c>
      <c r="C1291" s="17" t="s">
        <v>1066</v>
      </c>
      <c r="D1291" s="7" t="s">
        <v>4039</v>
      </c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</row>
    <row r="1292">
      <c r="A1292" s="16">
        <v>1290.0</v>
      </c>
      <c r="B1292" s="17" t="s">
        <v>2838</v>
      </c>
      <c r="C1292" s="17" t="s">
        <v>1248</v>
      </c>
      <c r="D1292" s="7" t="s">
        <v>4040</v>
      </c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</row>
    <row r="1293">
      <c r="A1293" s="16">
        <v>1291.0</v>
      </c>
      <c r="B1293" s="17" t="s">
        <v>2841</v>
      </c>
      <c r="C1293" s="17" t="s">
        <v>1049</v>
      </c>
      <c r="D1293" s="7" t="s">
        <v>4041</v>
      </c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</row>
    <row r="1294">
      <c r="A1294" s="16">
        <v>1292.0</v>
      </c>
      <c r="B1294" s="17" t="s">
        <v>2844</v>
      </c>
      <c r="C1294" s="17" t="s">
        <v>1248</v>
      </c>
      <c r="D1294" s="7" t="s">
        <v>4042</v>
      </c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</row>
    <row r="1295">
      <c r="A1295" s="16">
        <v>1293.0</v>
      </c>
      <c r="B1295" s="17" t="s">
        <v>2846</v>
      </c>
      <c r="C1295" s="17" t="s">
        <v>1248</v>
      </c>
      <c r="D1295" s="7" t="s">
        <v>4043</v>
      </c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</row>
    <row r="1296">
      <c r="A1296" s="16">
        <v>1294.0</v>
      </c>
      <c r="B1296" s="17" t="s">
        <v>2848</v>
      </c>
      <c r="C1296" s="17" t="s">
        <v>1851</v>
      </c>
      <c r="D1296" s="7" t="s">
        <v>4044</v>
      </c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</row>
    <row r="1297">
      <c r="A1297" s="16">
        <v>1295.0</v>
      </c>
      <c r="B1297" s="17" t="s">
        <v>2851</v>
      </c>
      <c r="C1297" s="17" t="s">
        <v>1851</v>
      </c>
      <c r="D1297" s="7" t="s">
        <v>4045</v>
      </c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</row>
    <row r="1298">
      <c r="A1298" s="16">
        <v>1296.0</v>
      </c>
      <c r="B1298" s="17" t="s">
        <v>2853</v>
      </c>
      <c r="C1298" s="17" t="s">
        <v>1851</v>
      </c>
      <c r="D1298" s="7" t="s">
        <v>4046</v>
      </c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</row>
    <row r="1299">
      <c r="A1299" s="16">
        <v>1297.0</v>
      </c>
      <c r="B1299" s="17" t="s">
        <v>2855</v>
      </c>
      <c r="C1299" s="17" t="s">
        <v>1049</v>
      </c>
      <c r="D1299" s="7" t="s">
        <v>4047</v>
      </c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</row>
    <row r="1300">
      <c r="A1300" s="16">
        <v>1298.0</v>
      </c>
      <c r="B1300" s="17" t="s">
        <v>2858</v>
      </c>
      <c r="C1300" s="17" t="s">
        <v>1066</v>
      </c>
      <c r="D1300" s="7" t="s">
        <v>4048</v>
      </c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</row>
    <row r="1301">
      <c r="A1301" s="16">
        <v>1299.0</v>
      </c>
      <c r="B1301" s="17" t="s">
        <v>2860</v>
      </c>
      <c r="C1301" s="17" t="s">
        <v>21</v>
      </c>
      <c r="D1301" s="7" t="s">
        <v>4049</v>
      </c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</row>
    <row r="1302">
      <c r="A1302" s="16">
        <v>1300.0</v>
      </c>
      <c r="B1302" s="17" t="s">
        <v>2862</v>
      </c>
      <c r="C1302" s="17" t="s">
        <v>21</v>
      </c>
      <c r="D1302" s="7" t="s">
        <v>4050</v>
      </c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</row>
    <row r="1303">
      <c r="A1303" s="16">
        <v>1301.0</v>
      </c>
      <c r="B1303" s="17" t="s">
        <v>2865</v>
      </c>
      <c r="C1303" s="17" t="s">
        <v>24</v>
      </c>
      <c r="D1303" s="7" t="s">
        <v>4051</v>
      </c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</row>
    <row r="1304">
      <c r="A1304" s="16">
        <v>1302.0</v>
      </c>
      <c r="B1304" s="17" t="s">
        <v>2867</v>
      </c>
      <c r="C1304" s="17" t="s">
        <v>24</v>
      </c>
      <c r="D1304" s="7" t="s">
        <v>4052</v>
      </c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</row>
    <row r="1305">
      <c r="A1305" s="16">
        <v>1303.0</v>
      </c>
      <c r="B1305" s="17" t="s">
        <v>2869</v>
      </c>
      <c r="C1305" s="17" t="s">
        <v>21</v>
      </c>
      <c r="D1305" s="7" t="s">
        <v>4053</v>
      </c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</row>
    <row r="1306">
      <c r="A1306" s="16">
        <v>1304.0</v>
      </c>
      <c r="B1306" s="17" t="s">
        <v>2872</v>
      </c>
      <c r="C1306" s="17" t="s">
        <v>21</v>
      </c>
      <c r="D1306" s="7" t="s">
        <v>4054</v>
      </c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</row>
    <row r="1307">
      <c r="A1307" s="16">
        <v>1305.0</v>
      </c>
      <c r="B1307" s="17" t="s">
        <v>2874</v>
      </c>
      <c r="C1307" s="17" t="s">
        <v>1891</v>
      </c>
      <c r="D1307" s="7" t="s">
        <v>4055</v>
      </c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</row>
    <row r="1308">
      <c r="A1308" s="16">
        <v>1306.0</v>
      </c>
      <c r="B1308" s="17" t="s">
        <v>2876</v>
      </c>
      <c r="C1308" s="17" t="s">
        <v>1891</v>
      </c>
      <c r="D1308" s="7" t="s">
        <v>4056</v>
      </c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</row>
    <row r="1309">
      <c r="A1309" s="16">
        <v>1307.0</v>
      </c>
      <c r="B1309" s="17" t="s">
        <v>2878</v>
      </c>
      <c r="C1309" s="17" t="s">
        <v>1057</v>
      </c>
      <c r="D1309" s="7" t="s">
        <v>4057</v>
      </c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</row>
    <row r="1310">
      <c r="A1310" s="16">
        <v>1308.0</v>
      </c>
      <c r="B1310" s="17" t="s">
        <v>2881</v>
      </c>
      <c r="C1310" s="17" t="s">
        <v>1891</v>
      </c>
      <c r="D1310" s="7" t="s">
        <v>4058</v>
      </c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</row>
    <row r="1311">
      <c r="A1311" s="16">
        <v>1309.0</v>
      </c>
      <c r="B1311" s="17" t="s">
        <v>2883</v>
      </c>
      <c r="C1311" s="17" t="s">
        <v>1891</v>
      </c>
      <c r="D1311" s="7" t="s">
        <v>4059</v>
      </c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</row>
    <row r="1312">
      <c r="A1312" s="16">
        <v>1310.0</v>
      </c>
      <c r="B1312" s="17" t="s">
        <v>2886</v>
      </c>
      <c r="C1312" s="17" t="s">
        <v>1057</v>
      </c>
      <c r="D1312" s="7" t="s">
        <v>4060</v>
      </c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</row>
    <row r="1313">
      <c r="A1313" s="16">
        <v>1311.0</v>
      </c>
      <c r="B1313" s="17" t="s">
        <v>2888</v>
      </c>
      <c r="C1313" s="17" t="s">
        <v>1057</v>
      </c>
      <c r="D1313" s="7" t="s">
        <v>4061</v>
      </c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</row>
    <row r="1314">
      <c r="A1314" s="16">
        <v>1312.0</v>
      </c>
      <c r="B1314" s="17" t="s">
        <v>2890</v>
      </c>
      <c r="C1314" s="17" t="s">
        <v>1057</v>
      </c>
      <c r="D1314" s="7" t="s">
        <v>4062</v>
      </c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</row>
    <row r="1315">
      <c r="A1315" s="16">
        <v>1313.0</v>
      </c>
      <c r="B1315" s="17" t="s">
        <v>2893</v>
      </c>
      <c r="C1315" s="17" t="s">
        <v>1851</v>
      </c>
      <c r="D1315" s="7" t="s">
        <v>4063</v>
      </c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</row>
    <row r="1316">
      <c r="A1316" s="16">
        <v>1314.0</v>
      </c>
      <c r="B1316" s="17" t="s">
        <v>2895</v>
      </c>
      <c r="C1316" s="17" t="s">
        <v>21</v>
      </c>
      <c r="D1316" s="7" t="s">
        <v>4064</v>
      </c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</row>
    <row r="1317">
      <c r="A1317" s="16">
        <v>1315.0</v>
      </c>
      <c r="B1317" s="17" t="s">
        <v>2897</v>
      </c>
      <c r="C1317" s="17" t="s">
        <v>650</v>
      </c>
      <c r="D1317" s="7" t="s">
        <v>4065</v>
      </c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</row>
    <row r="1318">
      <c r="A1318" s="16">
        <v>1316.0</v>
      </c>
      <c r="B1318" s="17" t="s">
        <v>2899</v>
      </c>
      <c r="C1318" s="17" t="s">
        <v>320</v>
      </c>
      <c r="D1318" s="7" t="s">
        <v>3981</v>
      </c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</row>
    <row r="1319">
      <c r="A1319" s="16">
        <v>1317.0</v>
      </c>
      <c r="B1319" s="17" t="s">
        <v>2901</v>
      </c>
      <c r="C1319" s="17" t="s">
        <v>2553</v>
      </c>
      <c r="D1319" s="7" t="s">
        <v>4066</v>
      </c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</row>
    <row r="1320">
      <c r="A1320" s="16">
        <v>1318.0</v>
      </c>
      <c r="B1320" s="17" t="s">
        <v>2903</v>
      </c>
      <c r="C1320" s="17" t="s">
        <v>56</v>
      </c>
      <c r="D1320" s="7" t="s">
        <v>4067</v>
      </c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</row>
    <row r="1321">
      <c r="A1321" s="16">
        <v>1319.0</v>
      </c>
      <c r="B1321" s="17" t="s">
        <v>2906</v>
      </c>
      <c r="C1321" s="17" t="s">
        <v>56</v>
      </c>
      <c r="D1321" s="7" t="s">
        <v>4068</v>
      </c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</row>
    <row r="1322">
      <c r="A1322" s="16">
        <v>1320.0</v>
      </c>
      <c r="B1322" s="17" t="s">
        <v>2908</v>
      </c>
      <c r="C1322" s="17" t="s">
        <v>475</v>
      </c>
      <c r="D1322" s="7" t="s">
        <v>4069</v>
      </c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</row>
    <row r="1323">
      <c r="A1323" s="16">
        <v>1321.0</v>
      </c>
      <c r="B1323" s="17" t="s">
        <v>2911</v>
      </c>
      <c r="C1323" s="17" t="s">
        <v>475</v>
      </c>
      <c r="D1323" s="7" t="s">
        <v>4070</v>
      </c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</row>
    <row r="1324">
      <c r="A1324" s="16">
        <v>1322.0</v>
      </c>
      <c r="B1324" s="17" t="s">
        <v>2913</v>
      </c>
      <c r="C1324" s="17" t="s">
        <v>460</v>
      </c>
      <c r="D1324" s="7" t="s">
        <v>4071</v>
      </c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</row>
    <row r="1325">
      <c r="A1325" s="16">
        <v>1323.0</v>
      </c>
      <c r="B1325" s="17" t="s">
        <v>2915</v>
      </c>
      <c r="C1325" s="17" t="s">
        <v>475</v>
      </c>
      <c r="D1325" s="7" t="s">
        <v>4072</v>
      </c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</row>
    <row r="1326">
      <c r="A1326" s="16">
        <v>1324.0</v>
      </c>
      <c r="B1326" s="17" t="s">
        <v>2918</v>
      </c>
      <c r="C1326" s="17" t="s">
        <v>320</v>
      </c>
      <c r="D1326" s="7" t="s">
        <v>4073</v>
      </c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</row>
    <row r="1327">
      <c r="A1327" s="16">
        <v>1325.0</v>
      </c>
      <c r="B1327" s="17" t="s">
        <v>2920</v>
      </c>
      <c r="C1327" s="17" t="s">
        <v>246</v>
      </c>
      <c r="D1327" s="7" t="s">
        <v>4074</v>
      </c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</row>
    <row r="1328">
      <c r="A1328" s="16">
        <v>1326.0</v>
      </c>
      <c r="B1328" s="17" t="s">
        <v>2922</v>
      </c>
      <c r="C1328" s="17" t="s">
        <v>45</v>
      </c>
      <c r="D1328" s="7" t="s">
        <v>4075</v>
      </c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</row>
    <row r="1329">
      <c r="A1329" s="16">
        <v>1327.0</v>
      </c>
      <c r="B1329" s="17" t="s">
        <v>2925</v>
      </c>
      <c r="C1329" s="17" t="s">
        <v>45</v>
      </c>
      <c r="D1329" s="7" t="s">
        <v>4076</v>
      </c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</row>
    <row r="1330">
      <c r="A1330" s="16">
        <v>1328.0</v>
      </c>
      <c r="B1330" s="17" t="s">
        <v>2927</v>
      </c>
      <c r="C1330" s="17" t="s">
        <v>231</v>
      </c>
      <c r="D1330" s="7" t="s">
        <v>4077</v>
      </c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</row>
    <row r="1331">
      <c r="A1331" s="16">
        <v>1329.0</v>
      </c>
      <c r="B1331" s="17" t="s">
        <v>2929</v>
      </c>
      <c r="C1331" s="17" t="s">
        <v>231</v>
      </c>
      <c r="D1331" s="7" t="s">
        <v>4078</v>
      </c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</row>
    <row r="1332">
      <c r="A1332" s="16">
        <v>1330.0</v>
      </c>
      <c r="B1332" s="17" t="s">
        <v>2931</v>
      </c>
      <c r="C1332" s="17" t="s">
        <v>475</v>
      </c>
      <c r="D1332" s="7" t="s">
        <v>4079</v>
      </c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</row>
    <row r="1333">
      <c r="A1333" s="16">
        <v>1331.0</v>
      </c>
      <c r="B1333" s="17" t="s">
        <v>2933</v>
      </c>
      <c r="C1333" s="17" t="s">
        <v>475</v>
      </c>
      <c r="D1333" s="7" t="s">
        <v>4080</v>
      </c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</row>
    <row r="1334">
      <c r="A1334" s="16">
        <v>1332.0</v>
      </c>
      <c r="B1334" s="17" t="s">
        <v>2935</v>
      </c>
      <c r="C1334" s="17" t="s">
        <v>508</v>
      </c>
      <c r="D1334" s="7" t="s">
        <v>4081</v>
      </c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</row>
    <row r="1335">
      <c r="A1335" s="16">
        <v>1333.0</v>
      </c>
      <c r="B1335" s="17" t="s">
        <v>2936</v>
      </c>
      <c r="C1335" s="17" t="s">
        <v>508</v>
      </c>
      <c r="D1335" s="7" t="s">
        <v>3626</v>
      </c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</row>
    <row r="1336">
      <c r="A1336" s="16">
        <v>1334.0</v>
      </c>
      <c r="B1336" s="17" t="s">
        <v>2938</v>
      </c>
      <c r="C1336" s="17" t="s">
        <v>508</v>
      </c>
      <c r="D1336" s="7" t="s">
        <v>4082</v>
      </c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</row>
    <row r="1337">
      <c r="A1337" s="16">
        <v>1335.0</v>
      </c>
      <c r="B1337" s="17" t="s">
        <v>2940</v>
      </c>
      <c r="C1337" s="17" t="s">
        <v>508</v>
      </c>
      <c r="D1337" s="7" t="s">
        <v>4083</v>
      </c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</row>
    <row r="1338">
      <c r="A1338" s="16">
        <v>1336.0</v>
      </c>
      <c r="B1338" s="17" t="s">
        <v>2942</v>
      </c>
      <c r="C1338" s="17" t="s">
        <v>2553</v>
      </c>
      <c r="D1338" s="7" t="s">
        <v>4084</v>
      </c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</row>
    <row r="1339">
      <c r="A1339" s="16">
        <v>1337.0</v>
      </c>
      <c r="B1339" s="17" t="s">
        <v>2944</v>
      </c>
      <c r="C1339" s="17" t="s">
        <v>231</v>
      </c>
      <c r="D1339" s="7" t="s">
        <v>4085</v>
      </c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</row>
    <row r="1340">
      <c r="A1340" s="16">
        <v>1338.0</v>
      </c>
      <c r="B1340" s="17" t="s">
        <v>2946</v>
      </c>
      <c r="C1340" s="17" t="s">
        <v>246</v>
      </c>
      <c r="D1340" s="7" t="s">
        <v>4086</v>
      </c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</row>
    <row r="1341">
      <c r="A1341" s="16">
        <v>1339.0</v>
      </c>
      <c r="B1341" s="17" t="s">
        <v>2948</v>
      </c>
      <c r="C1341" s="17" t="s">
        <v>650</v>
      </c>
      <c r="D1341" s="7" t="s">
        <v>4087</v>
      </c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</row>
    <row r="1342">
      <c r="A1342" s="16">
        <v>1340.0</v>
      </c>
      <c r="B1342" s="17" t="s">
        <v>2950</v>
      </c>
      <c r="C1342" s="17" t="s">
        <v>320</v>
      </c>
      <c r="D1342" s="7" t="s">
        <v>4088</v>
      </c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</row>
    <row r="1343">
      <c r="A1343" s="16">
        <v>1341.0</v>
      </c>
      <c r="B1343" s="17" t="s">
        <v>2952</v>
      </c>
      <c r="C1343" s="17" t="s">
        <v>460</v>
      </c>
      <c r="D1343" s="7" t="s">
        <v>4089</v>
      </c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</row>
    <row r="1344">
      <c r="A1344" s="16">
        <v>1342.0</v>
      </c>
      <c r="B1344" s="17" t="s">
        <v>2954</v>
      </c>
      <c r="C1344" s="17" t="s">
        <v>320</v>
      </c>
      <c r="D1344" s="7" t="s">
        <v>4090</v>
      </c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</row>
    <row r="1345">
      <c r="A1345" s="16">
        <v>1343.0</v>
      </c>
      <c r="B1345" s="17" t="s">
        <v>2956</v>
      </c>
      <c r="C1345" s="17" t="s">
        <v>460</v>
      </c>
      <c r="D1345" s="7" t="s">
        <v>4091</v>
      </c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</row>
    <row r="1346">
      <c r="A1346" s="33"/>
      <c r="B1346" s="6"/>
      <c r="C1346" s="6"/>
      <c r="D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</row>
    <row r="1347">
      <c r="A1347" s="33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</row>
    <row r="1348">
      <c r="A1348" s="33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</row>
    <row r="1349">
      <c r="A1349" s="33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</row>
    <row r="1350">
      <c r="A1350" s="33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</row>
    <row r="1351">
      <c r="A1351" s="33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</row>
    <row r="1352">
      <c r="A1352" s="33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</row>
    <row r="1353">
      <c r="A1353" s="33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</row>
    <row r="1354">
      <c r="A1354" s="33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</row>
    <row r="1355">
      <c r="A1355" s="33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</row>
    <row r="1356">
      <c r="A1356" s="33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</row>
    <row r="1357">
      <c r="A1357" s="33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</row>
    <row r="1358">
      <c r="A1358" s="33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</row>
    <row r="1359">
      <c r="A1359" s="33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</row>
    <row r="1360">
      <c r="A1360" s="33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</row>
    <row r="1361">
      <c r="A1361" s="33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</row>
    <row r="1362">
      <c r="A1362" s="33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</row>
    <row r="1363">
      <c r="A1363" s="33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</row>
    <row r="1364">
      <c r="A1364" s="33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</row>
    <row r="1365">
      <c r="A1365" s="33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</row>
    <row r="1366">
      <c r="A1366" s="33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</row>
    <row r="1367">
      <c r="A1367" s="33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</row>
    <row r="1368">
      <c r="A1368" s="33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</row>
    <row r="1369">
      <c r="A1369" s="33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</row>
    <row r="1370">
      <c r="A1370" s="33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</row>
    <row r="1371">
      <c r="A1371" s="33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</row>
    <row r="1372">
      <c r="A1372" s="33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</row>
    <row r="1373">
      <c r="A1373" s="33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</row>
    <row r="1374">
      <c r="A1374" s="33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</row>
    <row r="1375">
      <c r="A1375" s="33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</row>
    <row r="1376">
      <c r="A1376" s="33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</row>
    <row r="1377">
      <c r="A1377" s="33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</row>
    <row r="1378">
      <c r="A1378" s="33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</row>
    <row r="1379">
      <c r="A1379" s="33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</row>
    <row r="1380">
      <c r="A1380" s="33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</row>
    <row r="1381">
      <c r="A1381" s="33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</row>
    <row r="1382">
      <c r="A1382" s="33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</row>
    <row r="1383">
      <c r="A1383" s="33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</row>
    <row r="1384">
      <c r="A1384" s="33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</row>
    <row r="1385">
      <c r="A1385" s="33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</row>
    <row r="1386">
      <c r="A1386" s="33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</row>
    <row r="1387">
      <c r="A1387" s="33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</row>
    <row r="1388">
      <c r="A1388" s="33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</row>
    <row r="1389">
      <c r="A1389" s="33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</row>
    <row r="1390">
      <c r="A1390" s="33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</row>
    <row r="1391">
      <c r="A1391" s="33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</row>
    <row r="1392">
      <c r="A1392" s="33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</row>
    <row r="1393">
      <c r="A1393" s="33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</row>
    <row r="1394">
      <c r="A1394" s="33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</row>
    <row r="1395">
      <c r="A1395" s="33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</row>
    <row r="1396">
      <c r="A1396" s="33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</row>
    <row r="1397">
      <c r="A1397" s="33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</row>
    <row r="1398">
      <c r="A1398" s="33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</row>
    <row r="1399">
      <c r="A1399" s="33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</row>
    <row r="1400">
      <c r="A1400" s="33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</row>
    <row r="1401">
      <c r="A1401" s="33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</row>
    <row r="1402">
      <c r="A1402" s="33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</row>
    <row r="1403">
      <c r="A1403" s="33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</row>
    <row r="1404">
      <c r="A1404" s="33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</row>
    <row r="1405">
      <c r="A1405" s="33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</row>
    <row r="1406">
      <c r="A1406" s="33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</row>
    <row r="1407">
      <c r="A1407" s="33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</row>
    <row r="1408">
      <c r="A1408" s="33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</row>
    <row r="1409">
      <c r="A1409" s="33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</row>
    <row r="1410">
      <c r="A1410" s="33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</row>
    <row r="1411">
      <c r="A1411" s="33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</row>
    <row r="1412">
      <c r="A1412" s="33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</row>
    <row r="1413">
      <c r="A1413" s="33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</row>
    <row r="1414">
      <c r="A1414" s="33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</row>
    <row r="1415">
      <c r="A1415" s="33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</row>
    <row r="1416">
      <c r="A1416" s="33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</row>
    <row r="1417">
      <c r="A1417" s="33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</row>
    <row r="1418">
      <c r="A1418" s="33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</row>
    <row r="1419">
      <c r="A1419" s="33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</row>
    <row r="1420">
      <c r="A1420" s="33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</row>
    <row r="1421">
      <c r="A1421" s="33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</row>
    <row r="1422">
      <c r="A1422" s="33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</row>
    <row r="1423">
      <c r="A1423" s="33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</row>
    <row r="1424">
      <c r="A1424" s="33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</row>
    <row r="1425">
      <c r="A1425" s="33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</row>
    <row r="1426">
      <c r="A1426" s="33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</row>
    <row r="1427">
      <c r="A1427" s="33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</row>
    <row r="1428">
      <c r="A1428" s="33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</row>
    <row r="1429">
      <c r="A1429" s="33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</row>
    <row r="1430">
      <c r="A1430" s="33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</row>
    <row r="1431">
      <c r="A1431" s="33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</row>
    <row r="1432">
      <c r="A1432" s="33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</row>
    <row r="1433">
      <c r="A1433" s="33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</row>
    <row r="1434">
      <c r="A1434" s="33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</row>
    <row r="1435">
      <c r="A1435" s="33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</row>
    <row r="1436">
      <c r="A1436" s="33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</row>
    <row r="1437">
      <c r="A1437" s="33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</row>
    <row r="1438">
      <c r="A1438" s="33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</row>
    <row r="1439">
      <c r="A1439" s="33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</row>
    <row r="1440">
      <c r="A1440" s="33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</row>
    <row r="1441">
      <c r="A1441" s="33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</row>
    <row r="1442">
      <c r="A1442" s="33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</row>
    <row r="1443">
      <c r="A1443" s="33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</row>
    <row r="1444">
      <c r="A1444" s="33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</row>
    <row r="1445">
      <c r="A1445" s="33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</row>
    <row r="1446">
      <c r="A1446" s="33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</row>
    <row r="1447">
      <c r="A1447" s="33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</row>
    <row r="1448">
      <c r="A1448" s="33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</row>
    <row r="1449">
      <c r="A1449" s="33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</row>
    <row r="1450">
      <c r="A1450" s="33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</row>
  </sheetData>
  <autoFilter ref="$A$1:$AA$1450">
    <sortState ref="A1:AA1450">
      <sortCondition ref="A1:A1450"/>
      <sortCondition descending="1" ref="B1:B1450"/>
    </sortState>
  </autoFilter>
  <conditionalFormatting sqref="B1 B3:B1345 B1347:B1450">
    <cfRule type="expression" dxfId="0" priority="1">
      <formula>COUNTIF(B:B,B1)&gt;1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3" max="3" width="27.0"/>
  </cols>
  <sheetData>
    <row r="1">
      <c r="A1" s="1" t="s">
        <v>0</v>
      </c>
      <c r="B1" s="3" t="s">
        <v>2</v>
      </c>
      <c r="C1" s="3" t="s">
        <v>6</v>
      </c>
    </row>
    <row r="2">
      <c r="C2" s="2">
        <f>IFERROR(__xludf.DUMMYFUNCTION("COUNTUNIQUE(C3:C676)"),166.0)</f>
        <v>166</v>
      </c>
    </row>
    <row r="3">
      <c r="A3" s="1" t="s">
        <v>27</v>
      </c>
      <c r="B3" s="2" t="s">
        <v>29</v>
      </c>
      <c r="C3" s="2" t="s">
        <v>31</v>
      </c>
    </row>
    <row r="4">
      <c r="A4" s="1" t="s">
        <v>33</v>
      </c>
      <c r="B4" s="2" t="s">
        <v>34</v>
      </c>
      <c r="C4" s="2" t="s">
        <v>31</v>
      </c>
    </row>
    <row r="5">
      <c r="A5" s="1" t="s">
        <v>37</v>
      </c>
      <c r="B5" s="2" t="s">
        <v>39</v>
      </c>
      <c r="C5" s="2" t="s">
        <v>31</v>
      </c>
    </row>
    <row r="6">
      <c r="A6" s="1" t="s">
        <v>41</v>
      </c>
      <c r="B6" s="2" t="s">
        <v>43</v>
      </c>
      <c r="C6" s="2" t="s">
        <v>31</v>
      </c>
    </row>
    <row r="7">
      <c r="A7" s="1" t="s">
        <v>46</v>
      </c>
      <c r="B7" s="2" t="s">
        <v>47</v>
      </c>
      <c r="C7" s="2" t="s">
        <v>31</v>
      </c>
    </row>
    <row r="8">
      <c r="A8" s="1" t="s">
        <v>49</v>
      </c>
      <c r="B8" s="2" t="s">
        <v>51</v>
      </c>
      <c r="C8" s="2" t="s">
        <v>31</v>
      </c>
    </row>
    <row r="9">
      <c r="A9" s="1" t="s">
        <v>53</v>
      </c>
      <c r="B9" s="2" t="s">
        <v>54</v>
      </c>
      <c r="C9" s="2" t="s">
        <v>56</v>
      </c>
    </row>
    <row r="10">
      <c r="A10" s="1" t="s">
        <v>60</v>
      </c>
      <c r="B10" s="2" t="s">
        <v>61</v>
      </c>
      <c r="C10" s="2" t="s">
        <v>56</v>
      </c>
    </row>
    <row r="11">
      <c r="A11" s="13" t="s">
        <v>64</v>
      </c>
      <c r="B11" s="2" t="s">
        <v>68</v>
      </c>
      <c r="C11" s="2" t="s">
        <v>56</v>
      </c>
    </row>
    <row r="12">
      <c r="A12" s="1" t="s">
        <v>70</v>
      </c>
      <c r="B12" s="2" t="s">
        <v>72</v>
      </c>
      <c r="C12" s="2" t="s">
        <v>73</v>
      </c>
    </row>
    <row r="13">
      <c r="A13" s="1" t="s">
        <v>74</v>
      </c>
      <c r="B13" s="2" t="s">
        <v>75</v>
      </c>
      <c r="C13" s="2" t="s">
        <v>73</v>
      </c>
    </row>
    <row r="14">
      <c r="A14" s="1" t="s">
        <v>78</v>
      </c>
      <c r="B14" s="2" t="s">
        <v>79</v>
      </c>
      <c r="C14" s="2" t="s">
        <v>73</v>
      </c>
    </row>
    <row r="15">
      <c r="A15" s="1" t="s">
        <v>81</v>
      </c>
      <c r="B15" s="2" t="s">
        <v>83</v>
      </c>
      <c r="C15" s="2" t="s">
        <v>73</v>
      </c>
    </row>
    <row r="16">
      <c r="A16" s="1" t="s">
        <v>85</v>
      </c>
      <c r="B16" s="2" t="s">
        <v>86</v>
      </c>
      <c r="C16" s="2" t="s">
        <v>73</v>
      </c>
    </row>
    <row r="17">
      <c r="A17" s="1" t="s">
        <v>90</v>
      </c>
      <c r="B17" s="2" t="s">
        <v>91</v>
      </c>
      <c r="C17" s="2" t="s">
        <v>73</v>
      </c>
    </row>
    <row r="18">
      <c r="A18" s="1" t="s">
        <v>93</v>
      </c>
      <c r="B18" s="2" t="s">
        <v>95</v>
      </c>
      <c r="C18" s="2" t="s">
        <v>73</v>
      </c>
    </row>
    <row r="19">
      <c r="A19" s="1" t="s">
        <v>96</v>
      </c>
      <c r="B19" s="2" t="s">
        <v>98</v>
      </c>
      <c r="C19" s="2" t="s">
        <v>73</v>
      </c>
    </row>
    <row r="20">
      <c r="A20" s="1" t="s">
        <v>101</v>
      </c>
      <c r="B20" s="2" t="s">
        <v>102</v>
      </c>
      <c r="C20" s="2" t="s">
        <v>73</v>
      </c>
    </row>
    <row r="21">
      <c r="A21" s="1" t="s">
        <v>15</v>
      </c>
      <c r="B21" s="2" t="s">
        <v>16</v>
      </c>
      <c r="C21" s="2" t="s">
        <v>17</v>
      </c>
    </row>
    <row r="22">
      <c r="A22" s="1" t="s">
        <v>103</v>
      </c>
      <c r="B22" s="2" t="s">
        <v>104</v>
      </c>
      <c r="C22" s="2" t="s">
        <v>17</v>
      </c>
    </row>
    <row r="23">
      <c r="A23" s="1" t="s">
        <v>105</v>
      </c>
      <c r="B23" s="2" t="s">
        <v>106</v>
      </c>
      <c r="C23" s="2" t="s">
        <v>17</v>
      </c>
    </row>
    <row r="24">
      <c r="A24" s="1" t="s">
        <v>110</v>
      </c>
      <c r="B24" s="2" t="s">
        <v>111</v>
      </c>
      <c r="C24" s="2" t="s">
        <v>17</v>
      </c>
    </row>
    <row r="25">
      <c r="A25" s="1" t="s">
        <v>112</v>
      </c>
      <c r="B25" s="2" t="s">
        <v>114</v>
      </c>
      <c r="C25" s="2" t="s">
        <v>17</v>
      </c>
    </row>
    <row r="26">
      <c r="A26" s="1" t="s">
        <v>116</v>
      </c>
      <c r="B26" s="2" t="s">
        <v>117</v>
      </c>
      <c r="C26" s="2" t="s">
        <v>17</v>
      </c>
    </row>
    <row r="27">
      <c r="A27" s="1" t="s">
        <v>119</v>
      </c>
      <c r="B27" s="2" t="s">
        <v>121</v>
      </c>
      <c r="C27" s="2" t="s">
        <v>17</v>
      </c>
    </row>
    <row r="28">
      <c r="A28" s="1" t="s">
        <v>122</v>
      </c>
      <c r="B28" s="2" t="s">
        <v>123</v>
      </c>
      <c r="C28" s="2" t="s">
        <v>17</v>
      </c>
    </row>
    <row r="29">
      <c r="A29" s="1" t="s">
        <v>127</v>
      </c>
      <c r="B29" s="2" t="s">
        <v>128</v>
      </c>
      <c r="C29" s="2" t="s">
        <v>17</v>
      </c>
    </row>
    <row r="30">
      <c r="A30" s="1" t="s">
        <v>129</v>
      </c>
      <c r="B30" s="2" t="s">
        <v>130</v>
      </c>
      <c r="C30" s="2" t="s">
        <v>17</v>
      </c>
    </row>
    <row r="31">
      <c r="A31" s="1" t="s">
        <v>133</v>
      </c>
      <c r="B31" s="2" t="s">
        <v>134</v>
      </c>
      <c r="C31" s="2" t="s">
        <v>135</v>
      </c>
    </row>
    <row r="32">
      <c r="A32" s="1" t="s">
        <v>136</v>
      </c>
      <c r="B32" s="2" t="s">
        <v>138</v>
      </c>
      <c r="C32" s="2" t="s">
        <v>135</v>
      </c>
    </row>
    <row r="33">
      <c r="A33" s="1" t="s">
        <v>140</v>
      </c>
      <c r="B33" s="2" t="s">
        <v>141</v>
      </c>
      <c r="C33" s="2" t="s">
        <v>135</v>
      </c>
    </row>
    <row r="34">
      <c r="A34" s="1" t="s">
        <v>143</v>
      </c>
      <c r="B34" s="2" t="s">
        <v>145</v>
      </c>
      <c r="C34" s="2" t="s">
        <v>135</v>
      </c>
    </row>
    <row r="35">
      <c r="A35" s="1" t="s">
        <v>146</v>
      </c>
      <c r="B35" s="2" t="s">
        <v>147</v>
      </c>
      <c r="C35" s="2" t="s">
        <v>135</v>
      </c>
    </row>
    <row r="36">
      <c r="A36" s="1" t="s">
        <v>150</v>
      </c>
      <c r="B36" s="2" t="s">
        <v>151</v>
      </c>
      <c r="C36" s="2" t="s">
        <v>135</v>
      </c>
    </row>
    <row r="37">
      <c r="A37" s="1" t="s">
        <v>152</v>
      </c>
      <c r="B37" s="2" t="s">
        <v>154</v>
      </c>
      <c r="C37" s="2" t="s">
        <v>135</v>
      </c>
    </row>
    <row r="38">
      <c r="A38" s="1" t="s">
        <v>156</v>
      </c>
      <c r="B38" s="2" t="s">
        <v>157</v>
      </c>
      <c r="C38" s="2" t="s">
        <v>135</v>
      </c>
    </row>
    <row r="39">
      <c r="A39" s="1" t="s">
        <v>11</v>
      </c>
      <c r="B39" s="2" t="s">
        <v>12</v>
      </c>
      <c r="C39" s="2" t="s">
        <v>13</v>
      </c>
    </row>
    <row r="40">
      <c r="A40" s="1" t="s">
        <v>160</v>
      </c>
      <c r="B40" s="2" t="s">
        <v>161</v>
      </c>
      <c r="C40" s="2" t="s">
        <v>13</v>
      </c>
    </row>
    <row r="41">
      <c r="A41" s="1" t="s">
        <v>69</v>
      </c>
      <c r="B41" s="2" t="s">
        <v>71</v>
      </c>
      <c r="C41" s="2" t="s">
        <v>13</v>
      </c>
    </row>
    <row r="42">
      <c r="A42" s="1" t="s">
        <v>165</v>
      </c>
      <c r="B42" s="2" t="s">
        <v>167</v>
      </c>
      <c r="C42" s="2" t="s">
        <v>13</v>
      </c>
    </row>
    <row r="43">
      <c r="A43" s="1" t="s">
        <v>168</v>
      </c>
      <c r="B43" s="2" t="s">
        <v>169</v>
      </c>
      <c r="C43" s="2" t="s">
        <v>13</v>
      </c>
    </row>
    <row r="44">
      <c r="A44" s="1" t="s">
        <v>172</v>
      </c>
      <c r="B44" s="2" t="s">
        <v>173</v>
      </c>
      <c r="C44" s="2" t="s">
        <v>13</v>
      </c>
    </row>
    <row r="45">
      <c r="A45" s="1" t="s">
        <v>37</v>
      </c>
      <c r="B45" s="2" t="s">
        <v>176</v>
      </c>
      <c r="C45" s="2" t="s">
        <v>13</v>
      </c>
    </row>
    <row r="46">
      <c r="A46" s="1" t="s">
        <v>177</v>
      </c>
      <c r="B46" s="2" t="s">
        <v>179</v>
      </c>
      <c r="C46" s="2" t="s">
        <v>13</v>
      </c>
    </row>
    <row r="47">
      <c r="A47" s="1" t="s">
        <v>181</v>
      </c>
      <c r="B47" s="2" t="s">
        <v>182</v>
      </c>
      <c r="C47" s="2" t="s">
        <v>13</v>
      </c>
    </row>
    <row r="48">
      <c r="A48" s="1" t="s">
        <v>185</v>
      </c>
      <c r="B48" s="2" t="s">
        <v>186</v>
      </c>
      <c r="C48" s="2" t="s">
        <v>13</v>
      </c>
    </row>
    <row r="49">
      <c r="A49" s="1" t="s">
        <v>187</v>
      </c>
      <c r="B49" s="2" t="s">
        <v>189</v>
      </c>
      <c r="C49" s="2" t="s">
        <v>13</v>
      </c>
    </row>
    <row r="50">
      <c r="A50" s="1" t="s">
        <v>191</v>
      </c>
      <c r="B50" s="2" t="s">
        <v>192</v>
      </c>
      <c r="C50" s="2" t="s">
        <v>13</v>
      </c>
    </row>
    <row r="51">
      <c r="A51" s="1" t="s">
        <v>195</v>
      </c>
      <c r="B51" s="2" t="s">
        <v>196</v>
      </c>
      <c r="C51" s="2" t="s">
        <v>13</v>
      </c>
    </row>
    <row r="52">
      <c r="A52" s="1" t="s">
        <v>197</v>
      </c>
      <c r="B52" s="2" t="s">
        <v>198</v>
      </c>
      <c r="C52" s="2" t="s">
        <v>13</v>
      </c>
    </row>
    <row r="53">
      <c r="A53" s="1" t="s">
        <v>199</v>
      </c>
      <c r="B53" s="2" t="s">
        <v>200</v>
      </c>
      <c r="C53" s="2" t="s">
        <v>13</v>
      </c>
    </row>
    <row r="54">
      <c r="A54" s="1" t="s">
        <v>204</v>
      </c>
      <c r="B54" s="2" t="s">
        <v>205</v>
      </c>
      <c r="C54" s="2" t="s">
        <v>13</v>
      </c>
    </row>
    <row r="55">
      <c r="A55" s="1" t="s">
        <v>207</v>
      </c>
      <c r="B55" s="2" t="s">
        <v>209</v>
      </c>
      <c r="C55" s="2" t="s">
        <v>13</v>
      </c>
    </row>
    <row r="56">
      <c r="A56" s="1" t="s">
        <v>210</v>
      </c>
      <c r="B56" s="2" t="s">
        <v>211</v>
      </c>
      <c r="C56" s="2" t="s">
        <v>13</v>
      </c>
    </row>
    <row r="57">
      <c r="A57" s="1" t="s">
        <v>214</v>
      </c>
      <c r="B57" s="2" t="s">
        <v>215</v>
      </c>
      <c r="C57" s="2" t="s">
        <v>13</v>
      </c>
    </row>
    <row r="58">
      <c r="A58" s="1" t="s">
        <v>216</v>
      </c>
      <c r="B58" s="2" t="s">
        <v>218</v>
      </c>
      <c r="C58" s="2" t="s">
        <v>13</v>
      </c>
    </row>
    <row r="59">
      <c r="A59" s="1" t="s">
        <v>76</v>
      </c>
      <c r="B59" s="2" t="s">
        <v>77</v>
      </c>
      <c r="C59" s="2" t="s">
        <v>13</v>
      </c>
    </row>
    <row r="60">
      <c r="A60" s="1" t="s">
        <v>222</v>
      </c>
      <c r="B60" s="2" t="s">
        <v>223</v>
      </c>
      <c r="C60" s="2" t="s">
        <v>13</v>
      </c>
    </row>
    <row r="61">
      <c r="A61" s="1" t="s">
        <v>80</v>
      </c>
      <c r="B61" s="2" t="s">
        <v>82</v>
      </c>
      <c r="C61" s="2" t="s">
        <v>13</v>
      </c>
    </row>
    <row r="62">
      <c r="A62" s="1" t="s">
        <v>193</v>
      </c>
      <c r="B62" s="2" t="s">
        <v>194</v>
      </c>
      <c r="C62" s="2" t="s">
        <v>13</v>
      </c>
    </row>
    <row r="63">
      <c r="A63" s="1" t="s">
        <v>228</v>
      </c>
      <c r="B63" s="2" t="s">
        <v>229</v>
      </c>
      <c r="C63" s="2" t="s">
        <v>231</v>
      </c>
    </row>
    <row r="64">
      <c r="A64" s="1" t="s">
        <v>233</v>
      </c>
      <c r="B64" s="2" t="s">
        <v>234</v>
      </c>
      <c r="C64" s="2" t="s">
        <v>231</v>
      </c>
    </row>
    <row r="65">
      <c r="A65" s="1" t="s">
        <v>237</v>
      </c>
      <c r="B65" s="2" t="s">
        <v>239</v>
      </c>
      <c r="C65" s="2" t="s">
        <v>231</v>
      </c>
    </row>
    <row r="66">
      <c r="A66" s="1" t="s">
        <v>240</v>
      </c>
      <c r="B66" s="2" t="s">
        <v>242</v>
      </c>
      <c r="C66" s="2" t="s">
        <v>231</v>
      </c>
    </row>
    <row r="67">
      <c r="A67" s="1" t="s">
        <v>244</v>
      </c>
      <c r="B67" s="2" t="s">
        <v>245</v>
      </c>
      <c r="C67" s="2" t="s">
        <v>246</v>
      </c>
    </row>
    <row r="68">
      <c r="A68" s="1" t="s">
        <v>249</v>
      </c>
      <c r="B68" s="2" t="s">
        <v>250</v>
      </c>
      <c r="C68" s="2" t="s">
        <v>246</v>
      </c>
    </row>
    <row r="69">
      <c r="A69" s="18" t="s">
        <v>253</v>
      </c>
      <c r="B69" s="2" t="s">
        <v>256</v>
      </c>
      <c r="C69" s="2" t="s">
        <v>246</v>
      </c>
    </row>
    <row r="70">
      <c r="A70" s="1" t="s">
        <v>257</v>
      </c>
      <c r="B70" s="2" t="s">
        <v>259</v>
      </c>
      <c r="C70" s="2" t="s">
        <v>100</v>
      </c>
    </row>
    <row r="71">
      <c r="A71" s="1" t="s">
        <v>262</v>
      </c>
      <c r="B71" s="2" t="s">
        <v>263</v>
      </c>
      <c r="C71" s="2" t="s">
        <v>100</v>
      </c>
    </row>
    <row r="72">
      <c r="A72" s="1" t="s">
        <v>266</v>
      </c>
      <c r="B72" s="2" t="s">
        <v>267</v>
      </c>
      <c r="C72" s="2" t="s">
        <v>100</v>
      </c>
    </row>
    <row r="73">
      <c r="A73" s="1" t="s">
        <v>269</v>
      </c>
      <c r="B73" s="2" t="s">
        <v>270</v>
      </c>
      <c r="C73" s="2" t="s">
        <v>100</v>
      </c>
    </row>
    <row r="74">
      <c r="A74" s="1" t="s">
        <v>274</v>
      </c>
      <c r="B74" s="2" t="s">
        <v>275</v>
      </c>
      <c r="C74" s="2" t="s">
        <v>100</v>
      </c>
    </row>
    <row r="75">
      <c r="A75" s="1" t="s">
        <v>278</v>
      </c>
      <c r="B75" s="2" t="s">
        <v>281</v>
      </c>
      <c r="C75" s="2" t="s">
        <v>283</v>
      </c>
    </row>
    <row r="76">
      <c r="A76" s="1" t="s">
        <v>284</v>
      </c>
      <c r="B76" s="2" t="s">
        <v>285</v>
      </c>
      <c r="C76" s="2" t="s">
        <v>283</v>
      </c>
    </row>
    <row r="77">
      <c r="A77" s="1" t="s">
        <v>289</v>
      </c>
      <c r="B77" s="2" t="s">
        <v>291</v>
      </c>
      <c r="C77" s="2" t="s">
        <v>283</v>
      </c>
    </row>
    <row r="78">
      <c r="A78" s="1" t="s">
        <v>293</v>
      </c>
      <c r="B78" s="2" t="s">
        <v>295</v>
      </c>
      <c r="C78" s="2" t="s">
        <v>283</v>
      </c>
    </row>
    <row r="79">
      <c r="A79" s="1" t="s">
        <v>297</v>
      </c>
      <c r="B79" s="2" t="s">
        <v>298</v>
      </c>
      <c r="C79" s="2" t="s">
        <v>283</v>
      </c>
    </row>
    <row r="80">
      <c r="A80" s="1" t="s">
        <v>303</v>
      </c>
      <c r="B80" s="2" t="s">
        <v>305</v>
      </c>
      <c r="C80" s="2" t="s">
        <v>45</v>
      </c>
    </row>
    <row r="81">
      <c r="A81" s="1" t="s">
        <v>307</v>
      </c>
      <c r="B81" s="2" t="s">
        <v>309</v>
      </c>
      <c r="C81" s="2" t="s">
        <v>45</v>
      </c>
    </row>
    <row r="82">
      <c r="A82" s="1" t="s">
        <v>311</v>
      </c>
      <c r="B82" s="2" t="s">
        <v>312</v>
      </c>
      <c r="C82" s="2" t="s">
        <v>45</v>
      </c>
    </row>
    <row r="83">
      <c r="A83" s="1" t="s">
        <v>316</v>
      </c>
      <c r="B83" s="2" t="s">
        <v>319</v>
      </c>
      <c r="C83" s="2" t="s">
        <v>320</v>
      </c>
    </row>
    <row r="84">
      <c r="A84" s="1" t="s">
        <v>321</v>
      </c>
      <c r="B84" s="2" t="s">
        <v>323</v>
      </c>
      <c r="C84" s="2" t="s">
        <v>320</v>
      </c>
    </row>
    <row r="85">
      <c r="A85" s="1" t="s">
        <v>326</v>
      </c>
      <c r="B85" s="2" t="s">
        <v>327</v>
      </c>
      <c r="C85" s="2" t="s">
        <v>320</v>
      </c>
    </row>
    <row r="86">
      <c r="A86" s="1" t="s">
        <v>330</v>
      </c>
      <c r="B86" s="2" t="s">
        <v>332</v>
      </c>
      <c r="C86" s="2" t="s">
        <v>320</v>
      </c>
    </row>
    <row r="87">
      <c r="A87" s="1" t="s">
        <v>334</v>
      </c>
      <c r="B87" s="2" t="s">
        <v>335</v>
      </c>
      <c r="C87" s="2" t="s">
        <v>320</v>
      </c>
    </row>
    <row r="88">
      <c r="A88" s="1" t="s">
        <v>340</v>
      </c>
      <c r="B88" s="2" t="s">
        <v>341</v>
      </c>
      <c r="C88" s="2" t="s">
        <v>342</v>
      </c>
    </row>
    <row r="89">
      <c r="A89" s="1" t="s">
        <v>345</v>
      </c>
      <c r="B89" s="2" t="s">
        <v>347</v>
      </c>
      <c r="C89" s="2" t="s">
        <v>342</v>
      </c>
    </row>
    <row r="90">
      <c r="A90" s="1" t="s">
        <v>348</v>
      </c>
      <c r="B90" s="2" t="s">
        <v>351</v>
      </c>
      <c r="C90" s="2" t="s">
        <v>342</v>
      </c>
    </row>
    <row r="91">
      <c r="A91" s="1" t="s">
        <v>355</v>
      </c>
      <c r="B91" s="2" t="s">
        <v>356</v>
      </c>
      <c r="C91" s="2" t="s">
        <v>342</v>
      </c>
    </row>
    <row r="92">
      <c r="A92" s="1" t="s">
        <v>359</v>
      </c>
      <c r="B92" s="2" t="s">
        <v>362</v>
      </c>
      <c r="C92" s="2" t="s">
        <v>342</v>
      </c>
    </row>
    <row r="93">
      <c r="A93" s="1" t="s">
        <v>22</v>
      </c>
      <c r="B93" s="2" t="s">
        <v>23</v>
      </c>
      <c r="C93" s="2" t="s">
        <v>24</v>
      </c>
    </row>
    <row r="94">
      <c r="A94" s="1" t="s">
        <v>369</v>
      </c>
      <c r="B94" s="2" t="s">
        <v>370</v>
      </c>
      <c r="C94" s="2" t="s">
        <v>24</v>
      </c>
    </row>
    <row r="95">
      <c r="A95" s="1" t="s">
        <v>371</v>
      </c>
      <c r="B95" s="2" t="s">
        <v>372</v>
      </c>
      <c r="C95" s="2" t="s">
        <v>24</v>
      </c>
    </row>
    <row r="96">
      <c r="A96" s="1" t="s">
        <v>377</v>
      </c>
      <c r="B96" s="2" t="s">
        <v>379</v>
      </c>
      <c r="C96" s="2" t="s">
        <v>24</v>
      </c>
    </row>
    <row r="97">
      <c r="A97" s="1" t="s">
        <v>87</v>
      </c>
      <c r="B97" s="2" t="s">
        <v>89</v>
      </c>
      <c r="C97" s="2" t="s">
        <v>24</v>
      </c>
    </row>
    <row r="98">
      <c r="A98" s="1" t="s">
        <v>384</v>
      </c>
      <c r="B98" s="2" t="s">
        <v>385</v>
      </c>
      <c r="C98" s="2" t="s">
        <v>24</v>
      </c>
    </row>
    <row r="99">
      <c r="A99" s="1" t="s">
        <v>388</v>
      </c>
      <c r="B99" s="2" t="s">
        <v>391</v>
      </c>
      <c r="C99" s="2" t="s">
        <v>24</v>
      </c>
    </row>
    <row r="100">
      <c r="A100" s="1" t="s">
        <v>393</v>
      </c>
      <c r="B100" s="2" t="s">
        <v>395</v>
      </c>
      <c r="C100" s="2" t="s">
        <v>24</v>
      </c>
    </row>
    <row r="101">
      <c r="A101" s="1" t="s">
        <v>397</v>
      </c>
      <c r="B101" s="2" t="s">
        <v>399</v>
      </c>
      <c r="C101" s="2" t="s">
        <v>24</v>
      </c>
    </row>
    <row r="102">
      <c r="A102" s="1" t="s">
        <v>401</v>
      </c>
      <c r="B102" s="2" t="s">
        <v>402</v>
      </c>
      <c r="C102" s="2" t="s">
        <v>24</v>
      </c>
    </row>
    <row r="103">
      <c r="A103" s="1" t="s">
        <v>201</v>
      </c>
      <c r="B103" s="2" t="s">
        <v>202</v>
      </c>
      <c r="C103" s="2" t="s">
        <v>203</v>
      </c>
    </row>
    <row r="104">
      <c r="A104" s="1" t="s">
        <v>407</v>
      </c>
      <c r="B104" s="2" t="s">
        <v>409</v>
      </c>
      <c r="C104" s="2" t="s">
        <v>203</v>
      </c>
    </row>
    <row r="105">
      <c r="A105" s="1" t="s">
        <v>413</v>
      </c>
      <c r="B105" s="2" t="s">
        <v>414</v>
      </c>
      <c r="C105" s="2" t="s">
        <v>203</v>
      </c>
    </row>
    <row r="106">
      <c r="A106" s="1" t="s">
        <v>206</v>
      </c>
      <c r="B106" s="2" t="s">
        <v>208</v>
      </c>
      <c r="C106" s="2" t="s">
        <v>203</v>
      </c>
    </row>
    <row r="107">
      <c r="A107" s="1" t="s">
        <v>418</v>
      </c>
      <c r="B107" s="2" t="s">
        <v>420</v>
      </c>
      <c r="C107" s="2" t="s">
        <v>238</v>
      </c>
    </row>
    <row r="108">
      <c r="A108" s="1" t="s">
        <v>422</v>
      </c>
      <c r="B108" s="2" t="s">
        <v>423</v>
      </c>
      <c r="C108" s="2" t="s">
        <v>238</v>
      </c>
    </row>
    <row r="109">
      <c r="A109" s="1" t="s">
        <v>427</v>
      </c>
      <c r="B109" s="2" t="s">
        <v>428</v>
      </c>
      <c r="C109" s="2" t="s">
        <v>238</v>
      </c>
    </row>
    <row r="110">
      <c r="A110" s="1" t="s">
        <v>429</v>
      </c>
      <c r="B110" s="2" t="s">
        <v>430</v>
      </c>
      <c r="C110" s="2" t="s">
        <v>238</v>
      </c>
    </row>
    <row r="111">
      <c r="A111" s="1" t="s">
        <v>431</v>
      </c>
      <c r="B111" s="2" t="s">
        <v>434</v>
      </c>
      <c r="C111" s="2" t="s">
        <v>238</v>
      </c>
    </row>
    <row r="112">
      <c r="A112" s="1" t="s">
        <v>437</v>
      </c>
      <c r="B112" s="2" t="s">
        <v>438</v>
      </c>
      <c r="C112" s="2" t="s">
        <v>238</v>
      </c>
    </row>
    <row r="113">
      <c r="A113" s="1" t="s">
        <v>442</v>
      </c>
      <c r="B113" s="2" t="s">
        <v>444</v>
      </c>
      <c r="C113" s="2" t="s">
        <v>238</v>
      </c>
    </row>
    <row r="114">
      <c r="A114" s="1" t="s">
        <v>447</v>
      </c>
      <c r="B114" s="2" t="s">
        <v>449</v>
      </c>
      <c r="C114" s="2" t="s">
        <v>238</v>
      </c>
    </row>
    <row r="115">
      <c r="A115" s="1" t="s">
        <v>451</v>
      </c>
      <c r="B115" s="2" t="s">
        <v>452</v>
      </c>
      <c r="C115" s="2" t="s">
        <v>238</v>
      </c>
    </row>
    <row r="116">
      <c r="A116" s="1" t="s">
        <v>454</v>
      </c>
      <c r="B116" s="2" t="s">
        <v>456</v>
      </c>
      <c r="C116" s="2" t="s">
        <v>238</v>
      </c>
    </row>
    <row r="117">
      <c r="A117" s="1" t="s">
        <v>458</v>
      </c>
      <c r="B117" s="2" t="s">
        <v>459</v>
      </c>
      <c r="C117" s="2" t="s">
        <v>460</v>
      </c>
    </row>
    <row r="118">
      <c r="A118" s="1" t="s">
        <v>462</v>
      </c>
      <c r="B118" s="2" t="s">
        <v>464</v>
      </c>
      <c r="C118" s="2" t="s">
        <v>460</v>
      </c>
    </row>
    <row r="119">
      <c r="A119" s="1" t="s">
        <v>466</v>
      </c>
      <c r="B119" s="2" t="s">
        <v>468</v>
      </c>
      <c r="C119" s="2" t="s">
        <v>460</v>
      </c>
    </row>
    <row r="120">
      <c r="A120" s="1" t="s">
        <v>471</v>
      </c>
      <c r="B120" s="2" t="s">
        <v>473</v>
      </c>
      <c r="C120" s="2" t="s">
        <v>475</v>
      </c>
    </row>
    <row r="121">
      <c r="A121" s="1" t="s">
        <v>478</v>
      </c>
      <c r="B121" s="2" t="s">
        <v>479</v>
      </c>
      <c r="C121" s="2" t="s">
        <v>475</v>
      </c>
    </row>
    <row r="122">
      <c r="A122" s="1" t="s">
        <v>482</v>
      </c>
      <c r="B122" s="2" t="s">
        <v>483</v>
      </c>
      <c r="C122" s="2" t="s">
        <v>475</v>
      </c>
    </row>
    <row r="123">
      <c r="A123" s="1" t="s">
        <v>486</v>
      </c>
      <c r="B123" s="2" t="s">
        <v>487</v>
      </c>
      <c r="C123" s="2" t="s">
        <v>475</v>
      </c>
    </row>
    <row r="124">
      <c r="A124" s="1" t="s">
        <v>490</v>
      </c>
      <c r="B124" s="2" t="s">
        <v>491</v>
      </c>
      <c r="C124" s="2" t="s">
        <v>475</v>
      </c>
    </row>
    <row r="125">
      <c r="A125" s="1" t="s">
        <v>494</v>
      </c>
      <c r="B125" s="2" t="s">
        <v>497</v>
      </c>
      <c r="C125" s="2" t="s">
        <v>475</v>
      </c>
    </row>
    <row r="126">
      <c r="A126" s="1" t="s">
        <v>500</v>
      </c>
      <c r="B126" s="2" t="s">
        <v>501</v>
      </c>
      <c r="C126" s="2" t="s">
        <v>475</v>
      </c>
    </row>
    <row r="127">
      <c r="A127" s="1" t="s">
        <v>503</v>
      </c>
      <c r="B127" s="2" t="s">
        <v>506</v>
      </c>
      <c r="C127" s="2" t="s">
        <v>508</v>
      </c>
    </row>
    <row r="128">
      <c r="A128" s="1" t="s">
        <v>510</v>
      </c>
      <c r="B128" s="2" t="s">
        <v>511</v>
      </c>
      <c r="C128" s="2" t="s">
        <v>508</v>
      </c>
    </row>
    <row r="129">
      <c r="A129" s="1" t="s">
        <v>512</v>
      </c>
      <c r="B129" s="2" t="s">
        <v>514</v>
      </c>
      <c r="C129" s="2" t="s">
        <v>508</v>
      </c>
    </row>
    <row r="130">
      <c r="A130" s="1" t="s">
        <v>517</v>
      </c>
      <c r="B130" s="2" t="s">
        <v>518</v>
      </c>
      <c r="C130" s="2" t="s">
        <v>508</v>
      </c>
    </row>
    <row r="131">
      <c r="A131" s="1" t="s">
        <v>520</v>
      </c>
      <c r="B131" s="2" t="s">
        <v>522</v>
      </c>
      <c r="C131" s="2" t="s">
        <v>524</v>
      </c>
    </row>
    <row r="132">
      <c r="A132" s="1" t="s">
        <v>525</v>
      </c>
      <c r="B132" s="2" t="s">
        <v>526</v>
      </c>
      <c r="C132" s="2" t="s">
        <v>524</v>
      </c>
    </row>
    <row r="133">
      <c r="A133" s="1" t="s">
        <v>527</v>
      </c>
      <c r="B133" s="2" t="s">
        <v>529</v>
      </c>
      <c r="C133" s="2" t="s">
        <v>524</v>
      </c>
    </row>
    <row r="134">
      <c r="A134" s="1" t="s">
        <v>533</v>
      </c>
      <c r="B134" s="2" t="s">
        <v>534</v>
      </c>
      <c r="C134" s="2" t="s">
        <v>524</v>
      </c>
    </row>
    <row r="135">
      <c r="A135" s="1" t="s">
        <v>37</v>
      </c>
      <c r="B135" s="2" t="s">
        <v>535</v>
      </c>
      <c r="C135" s="2" t="s">
        <v>536</v>
      </c>
    </row>
    <row r="136">
      <c r="A136" s="1" t="s">
        <v>539</v>
      </c>
      <c r="B136" s="2" t="s">
        <v>541</v>
      </c>
      <c r="C136" s="2" t="s">
        <v>536</v>
      </c>
    </row>
    <row r="137">
      <c r="A137" s="1" t="s">
        <v>543</v>
      </c>
      <c r="B137" s="2" t="s">
        <v>545</v>
      </c>
      <c r="C137" s="2" t="s">
        <v>536</v>
      </c>
    </row>
    <row r="138">
      <c r="A138" s="1" t="s">
        <v>546</v>
      </c>
      <c r="B138" s="2" t="s">
        <v>547</v>
      </c>
      <c r="C138" s="2" t="s">
        <v>536</v>
      </c>
    </row>
    <row r="139">
      <c r="A139" s="1" t="s">
        <v>551</v>
      </c>
      <c r="B139" s="2" t="s">
        <v>552</v>
      </c>
      <c r="C139" s="2" t="s">
        <v>550</v>
      </c>
    </row>
    <row r="140">
      <c r="A140" s="1" t="s">
        <v>555</v>
      </c>
      <c r="B140" s="2" t="s">
        <v>558</v>
      </c>
      <c r="C140" s="2" t="s">
        <v>550</v>
      </c>
    </row>
    <row r="141">
      <c r="A141" s="1" t="s">
        <v>562</v>
      </c>
      <c r="B141" s="2" t="s">
        <v>565</v>
      </c>
      <c r="C141" s="2" t="s">
        <v>550</v>
      </c>
    </row>
    <row r="142">
      <c r="A142" s="1" t="s">
        <v>568</v>
      </c>
      <c r="B142" s="2" t="s">
        <v>570</v>
      </c>
      <c r="C142" s="2" t="s">
        <v>550</v>
      </c>
    </row>
    <row r="143">
      <c r="A143" s="1" t="s">
        <v>574</v>
      </c>
      <c r="B143" s="2" t="s">
        <v>576</v>
      </c>
      <c r="C143" s="2" t="s">
        <v>550</v>
      </c>
    </row>
    <row r="144">
      <c r="A144" s="1" t="s">
        <v>581</v>
      </c>
      <c r="B144" s="2" t="s">
        <v>583</v>
      </c>
      <c r="C144" s="2" t="s">
        <v>585</v>
      </c>
    </row>
    <row r="145">
      <c r="A145" s="1" t="s">
        <v>589</v>
      </c>
      <c r="B145" s="2" t="s">
        <v>591</v>
      </c>
      <c r="C145" s="2" t="s">
        <v>585</v>
      </c>
    </row>
    <row r="146">
      <c r="A146" s="1" t="s">
        <v>593</v>
      </c>
      <c r="B146" s="2" t="s">
        <v>596</v>
      </c>
      <c r="C146" s="2" t="s">
        <v>619</v>
      </c>
    </row>
    <row r="147">
      <c r="A147" s="1" t="s">
        <v>623</v>
      </c>
      <c r="B147" s="2" t="s">
        <v>625</v>
      </c>
      <c r="C147" s="2" t="s">
        <v>619</v>
      </c>
    </row>
    <row r="148">
      <c r="A148" s="1" t="s">
        <v>629</v>
      </c>
      <c r="B148" s="2" t="s">
        <v>631</v>
      </c>
      <c r="C148" s="2" t="s">
        <v>619</v>
      </c>
    </row>
    <row r="149">
      <c r="A149" s="1" t="s">
        <v>636</v>
      </c>
      <c r="B149" s="2" t="s">
        <v>637</v>
      </c>
      <c r="C149" s="2" t="s">
        <v>619</v>
      </c>
    </row>
    <row r="150">
      <c r="A150" s="1" t="s">
        <v>641</v>
      </c>
      <c r="B150" s="2" t="s">
        <v>644</v>
      </c>
      <c r="C150" s="2" t="s">
        <v>619</v>
      </c>
    </row>
    <row r="151">
      <c r="A151" s="1" t="s">
        <v>645</v>
      </c>
      <c r="B151" s="2" t="s">
        <v>647</v>
      </c>
      <c r="C151" s="2" t="s">
        <v>650</v>
      </c>
    </row>
    <row r="152">
      <c r="A152" s="1" t="s">
        <v>654</v>
      </c>
      <c r="B152" s="2" t="s">
        <v>655</v>
      </c>
      <c r="C152" s="2" t="s">
        <v>650</v>
      </c>
    </row>
    <row r="153">
      <c r="A153" s="1" t="s">
        <v>660</v>
      </c>
      <c r="B153" s="2" t="s">
        <v>662</v>
      </c>
      <c r="C153" s="2" t="s">
        <v>650</v>
      </c>
    </row>
    <row r="154">
      <c r="A154" s="1" t="s">
        <v>665</v>
      </c>
      <c r="B154" s="2" t="s">
        <v>668</v>
      </c>
      <c r="C154" s="2" t="s">
        <v>650</v>
      </c>
    </row>
    <row r="155">
      <c r="A155" s="1" t="s">
        <v>670</v>
      </c>
      <c r="B155" s="2" t="s">
        <v>672</v>
      </c>
      <c r="C155" s="2" t="s">
        <v>642</v>
      </c>
    </row>
    <row r="156">
      <c r="A156" s="1" t="s">
        <v>678</v>
      </c>
      <c r="B156" s="2" t="s">
        <v>680</v>
      </c>
      <c r="C156" s="2" t="s">
        <v>642</v>
      </c>
    </row>
    <row r="157">
      <c r="A157" s="1" t="s">
        <v>685</v>
      </c>
      <c r="B157" s="2" t="s">
        <v>687</v>
      </c>
      <c r="C157" s="2" t="s">
        <v>642</v>
      </c>
    </row>
    <row r="158">
      <c r="A158" s="1" t="s">
        <v>689</v>
      </c>
      <c r="B158" s="2" t="s">
        <v>691</v>
      </c>
      <c r="C158" s="2" t="s">
        <v>652</v>
      </c>
    </row>
    <row r="159">
      <c r="A159" s="1" t="s">
        <v>696</v>
      </c>
      <c r="B159" s="2" t="s">
        <v>698</v>
      </c>
      <c r="C159" s="2" t="s">
        <v>652</v>
      </c>
    </row>
    <row r="160">
      <c r="A160" s="1" t="s">
        <v>704</v>
      </c>
      <c r="B160" s="2" t="s">
        <v>705</v>
      </c>
      <c r="C160" s="2" t="s">
        <v>652</v>
      </c>
    </row>
    <row r="161">
      <c r="A161" s="1" t="s">
        <v>711</v>
      </c>
      <c r="B161" s="2" t="s">
        <v>713</v>
      </c>
      <c r="C161" s="2" t="s">
        <v>652</v>
      </c>
    </row>
    <row r="162">
      <c r="A162" s="1" t="s">
        <v>718</v>
      </c>
      <c r="B162" s="2" t="s">
        <v>721</v>
      </c>
      <c r="C162" s="2" t="s">
        <v>652</v>
      </c>
    </row>
    <row r="163">
      <c r="A163" s="1" t="s">
        <v>725</v>
      </c>
      <c r="B163" s="2" t="s">
        <v>728</v>
      </c>
      <c r="C163" s="2" t="s">
        <v>663</v>
      </c>
    </row>
    <row r="164">
      <c r="A164" s="1" t="s">
        <v>732</v>
      </c>
      <c r="B164" s="2" t="s">
        <v>734</v>
      </c>
      <c r="C164" s="2" t="s">
        <v>663</v>
      </c>
    </row>
    <row r="165">
      <c r="A165" s="1" t="s">
        <v>739</v>
      </c>
      <c r="B165" s="2" t="s">
        <v>741</v>
      </c>
      <c r="C165" s="2" t="s">
        <v>663</v>
      </c>
    </row>
    <row r="166">
      <c r="A166" s="1" t="s">
        <v>744</v>
      </c>
      <c r="B166" s="2" t="s">
        <v>745</v>
      </c>
      <c r="C166" s="2" t="s">
        <v>663</v>
      </c>
    </row>
    <row r="167">
      <c r="A167" s="1" t="s">
        <v>750</v>
      </c>
      <c r="B167" s="2" t="s">
        <v>751</v>
      </c>
      <c r="C167" s="2" t="s">
        <v>754</v>
      </c>
    </row>
    <row r="168">
      <c r="A168" s="1" t="s">
        <v>757</v>
      </c>
      <c r="B168" s="2" t="s">
        <v>760</v>
      </c>
      <c r="C168" s="2" t="s">
        <v>754</v>
      </c>
    </row>
    <row r="169">
      <c r="A169" s="1" t="s">
        <v>764</v>
      </c>
      <c r="B169" s="2" t="s">
        <v>768</v>
      </c>
      <c r="C169" s="2" t="s">
        <v>754</v>
      </c>
    </row>
    <row r="170">
      <c r="A170" s="1" t="s">
        <v>769</v>
      </c>
      <c r="B170" s="2" t="s">
        <v>770</v>
      </c>
      <c r="C170" s="2" t="s">
        <v>754</v>
      </c>
    </row>
    <row r="171">
      <c r="A171" s="1" t="s">
        <v>771</v>
      </c>
      <c r="B171" s="2" t="s">
        <v>772</v>
      </c>
      <c r="C171" s="2" t="s">
        <v>774</v>
      </c>
    </row>
    <row r="172">
      <c r="A172" s="1" t="s">
        <v>775</v>
      </c>
      <c r="B172" s="2" t="s">
        <v>776</v>
      </c>
      <c r="C172" s="2" t="s">
        <v>774</v>
      </c>
    </row>
    <row r="173">
      <c r="A173" s="1" t="s">
        <v>777</v>
      </c>
      <c r="B173" s="2" t="s">
        <v>778</v>
      </c>
      <c r="C173" s="2" t="s">
        <v>774</v>
      </c>
    </row>
    <row r="174">
      <c r="A174" s="1" t="s">
        <v>782</v>
      </c>
      <c r="B174" s="2" t="s">
        <v>783</v>
      </c>
      <c r="C174" s="2" t="s">
        <v>774</v>
      </c>
    </row>
    <row r="175">
      <c r="A175" s="1" t="s">
        <v>786</v>
      </c>
      <c r="B175" s="2" t="s">
        <v>787</v>
      </c>
      <c r="C175" s="2" t="s">
        <v>474</v>
      </c>
    </row>
    <row r="176">
      <c r="A176" s="1" t="s">
        <v>789</v>
      </c>
      <c r="B176" s="2" t="s">
        <v>790</v>
      </c>
      <c r="C176" s="2" t="s">
        <v>474</v>
      </c>
    </row>
    <row r="177">
      <c r="A177" s="1" t="s">
        <v>611</v>
      </c>
      <c r="B177" s="2" t="s">
        <v>612</v>
      </c>
      <c r="C177" s="2" t="s">
        <v>474</v>
      </c>
    </row>
    <row r="178">
      <c r="A178" s="1" t="s">
        <v>799</v>
      </c>
      <c r="B178" s="2" t="s">
        <v>801</v>
      </c>
      <c r="C178" s="2" t="s">
        <v>679</v>
      </c>
    </row>
    <row r="179">
      <c r="A179" s="1" t="s">
        <v>803</v>
      </c>
      <c r="B179" s="2" t="s">
        <v>805</v>
      </c>
      <c r="C179" s="2" t="s">
        <v>679</v>
      </c>
    </row>
    <row r="180">
      <c r="A180" s="1" t="s">
        <v>810</v>
      </c>
      <c r="B180" s="2" t="s">
        <v>811</v>
      </c>
      <c r="C180" s="2" t="s">
        <v>679</v>
      </c>
    </row>
    <row r="181">
      <c r="A181" s="1" t="s">
        <v>815</v>
      </c>
      <c r="B181" s="2" t="s">
        <v>818</v>
      </c>
      <c r="C181" s="2" t="s">
        <v>679</v>
      </c>
    </row>
    <row r="182">
      <c r="A182" s="1" t="s">
        <v>820</v>
      </c>
      <c r="B182" s="2" t="s">
        <v>822</v>
      </c>
      <c r="C182" s="2" t="s">
        <v>509</v>
      </c>
    </row>
    <row r="183">
      <c r="A183" s="1" t="s">
        <v>826</v>
      </c>
      <c r="B183" s="2" t="s">
        <v>828</v>
      </c>
      <c r="C183" s="2" t="s">
        <v>509</v>
      </c>
    </row>
    <row r="184">
      <c r="A184" s="1" t="s">
        <v>832</v>
      </c>
      <c r="B184" s="2" t="s">
        <v>835</v>
      </c>
      <c r="C184" s="2" t="s">
        <v>509</v>
      </c>
    </row>
    <row r="185">
      <c r="A185" s="1" t="s">
        <v>839</v>
      </c>
      <c r="B185" s="2" t="s">
        <v>841</v>
      </c>
      <c r="C185" s="2" t="s">
        <v>448</v>
      </c>
    </row>
    <row r="186">
      <c r="A186" s="1" t="s">
        <v>846</v>
      </c>
      <c r="B186" s="2" t="s">
        <v>848</v>
      </c>
      <c r="C186" s="2" t="s">
        <v>448</v>
      </c>
    </row>
    <row r="187">
      <c r="A187" s="1" t="s">
        <v>853</v>
      </c>
      <c r="B187" s="2" t="s">
        <v>855</v>
      </c>
      <c r="C187" s="2" t="s">
        <v>448</v>
      </c>
    </row>
    <row r="188">
      <c r="A188" s="1" t="s">
        <v>857</v>
      </c>
      <c r="B188" s="2" t="s">
        <v>862</v>
      </c>
      <c r="C188" s="2" t="s">
        <v>864</v>
      </c>
    </row>
    <row r="189">
      <c r="A189" s="1" t="s">
        <v>865</v>
      </c>
      <c r="B189" s="2" t="s">
        <v>867</v>
      </c>
      <c r="C189" s="2" t="s">
        <v>864</v>
      </c>
    </row>
    <row r="190">
      <c r="A190" s="1" t="s">
        <v>871</v>
      </c>
      <c r="B190" s="2" t="s">
        <v>872</v>
      </c>
      <c r="C190" s="2" t="s">
        <v>864</v>
      </c>
    </row>
    <row r="191">
      <c r="A191" s="1" t="s">
        <v>876</v>
      </c>
      <c r="B191" s="2" t="s">
        <v>877</v>
      </c>
      <c r="C191" s="2" t="s">
        <v>864</v>
      </c>
    </row>
    <row r="192">
      <c r="A192" s="1" t="s">
        <v>880</v>
      </c>
      <c r="B192" s="2" t="s">
        <v>881</v>
      </c>
      <c r="C192" s="2" t="s">
        <v>883</v>
      </c>
    </row>
    <row r="193">
      <c r="A193" s="1" t="s">
        <v>886</v>
      </c>
      <c r="B193" s="2" t="s">
        <v>887</v>
      </c>
      <c r="C193" s="2" t="s">
        <v>883</v>
      </c>
    </row>
    <row r="194">
      <c r="A194" s="1" t="s">
        <v>889</v>
      </c>
      <c r="B194" s="2" t="s">
        <v>890</v>
      </c>
      <c r="C194" s="2" t="s">
        <v>883</v>
      </c>
    </row>
    <row r="195">
      <c r="A195" s="1" t="s">
        <v>893</v>
      </c>
      <c r="B195" s="2" t="s">
        <v>895</v>
      </c>
      <c r="C195" s="2" t="s">
        <v>883</v>
      </c>
    </row>
    <row r="196">
      <c r="A196" s="1" t="s">
        <v>896</v>
      </c>
      <c r="B196" s="2" t="s">
        <v>898</v>
      </c>
      <c r="C196" s="2" t="s">
        <v>735</v>
      </c>
    </row>
    <row r="197">
      <c r="A197" s="1" t="s">
        <v>901</v>
      </c>
      <c r="B197" s="2" t="s">
        <v>903</v>
      </c>
      <c r="C197" s="2" t="s">
        <v>735</v>
      </c>
    </row>
    <row r="198">
      <c r="A198" s="1" t="s">
        <v>904</v>
      </c>
      <c r="B198" s="2" t="s">
        <v>907</v>
      </c>
      <c r="C198" s="2" t="s">
        <v>909</v>
      </c>
    </row>
    <row r="199">
      <c r="A199" s="1" t="s">
        <v>911</v>
      </c>
      <c r="B199" s="2" t="s">
        <v>913</v>
      </c>
      <c r="C199" s="2" t="s">
        <v>909</v>
      </c>
    </row>
    <row r="200">
      <c r="A200" s="1" t="s">
        <v>915</v>
      </c>
      <c r="B200" s="2" t="s">
        <v>916</v>
      </c>
      <c r="C200" s="2" t="s">
        <v>909</v>
      </c>
    </row>
    <row r="201">
      <c r="A201" s="1" t="s">
        <v>920</v>
      </c>
      <c r="B201" s="2" t="s">
        <v>921</v>
      </c>
      <c r="C201" s="2" t="s">
        <v>909</v>
      </c>
    </row>
    <row r="202">
      <c r="A202" s="1" t="s">
        <v>923</v>
      </c>
      <c r="B202" s="2" t="s">
        <v>925</v>
      </c>
      <c r="C202" s="2" t="s">
        <v>909</v>
      </c>
    </row>
    <row r="203">
      <c r="A203" s="1" t="s">
        <v>927</v>
      </c>
      <c r="B203" s="2" t="s">
        <v>929</v>
      </c>
      <c r="C203" s="2" t="s">
        <v>695</v>
      </c>
    </row>
    <row r="204">
      <c r="A204" s="1" t="s">
        <v>931</v>
      </c>
      <c r="B204" s="2" t="s">
        <v>932</v>
      </c>
      <c r="C204" s="2" t="s">
        <v>695</v>
      </c>
    </row>
    <row r="205">
      <c r="A205" s="1" t="s">
        <v>935</v>
      </c>
      <c r="B205" s="2" t="s">
        <v>936</v>
      </c>
      <c r="C205" s="2" t="s">
        <v>695</v>
      </c>
    </row>
    <row r="206">
      <c r="A206" s="1" t="s">
        <v>938</v>
      </c>
      <c r="B206" s="2" t="s">
        <v>940</v>
      </c>
      <c r="C206" s="2" t="s">
        <v>758</v>
      </c>
    </row>
    <row r="207">
      <c r="A207" s="1" t="s">
        <v>797</v>
      </c>
      <c r="B207" s="2" t="s">
        <v>800</v>
      </c>
      <c r="C207" s="2" t="s">
        <v>758</v>
      </c>
    </row>
    <row r="208">
      <c r="A208" s="1" t="s">
        <v>946</v>
      </c>
      <c r="B208" s="2" t="s">
        <v>947</v>
      </c>
      <c r="C208" s="2" t="s">
        <v>948</v>
      </c>
    </row>
    <row r="209">
      <c r="A209" s="1" t="s">
        <v>951</v>
      </c>
      <c r="B209" s="2" t="s">
        <v>953</v>
      </c>
      <c r="C209" s="2" t="s">
        <v>948</v>
      </c>
    </row>
    <row r="210">
      <c r="A210" s="1" t="s">
        <v>960</v>
      </c>
      <c r="B210" s="2" t="s">
        <v>962</v>
      </c>
      <c r="C210" s="2" t="s">
        <v>948</v>
      </c>
    </row>
    <row r="211">
      <c r="A211" s="1" t="s">
        <v>966</v>
      </c>
      <c r="B211" s="2" t="s">
        <v>967</v>
      </c>
      <c r="C211" s="2" t="s">
        <v>948</v>
      </c>
    </row>
    <row r="212">
      <c r="A212" s="1" t="s">
        <v>970</v>
      </c>
      <c r="B212" s="2" t="s">
        <v>971</v>
      </c>
      <c r="C212" s="2" t="s">
        <v>703</v>
      </c>
    </row>
    <row r="213">
      <c r="A213" s="1" t="s">
        <v>975</v>
      </c>
      <c r="B213" s="2" t="s">
        <v>977</v>
      </c>
      <c r="C213" s="2" t="s">
        <v>703</v>
      </c>
    </row>
    <row r="214">
      <c r="A214" s="1" t="s">
        <v>983</v>
      </c>
      <c r="B214" s="2" t="s">
        <v>986</v>
      </c>
      <c r="C214" s="2" t="s">
        <v>703</v>
      </c>
    </row>
    <row r="215">
      <c r="A215" s="1" t="s">
        <v>989</v>
      </c>
      <c r="B215" s="2" t="s">
        <v>990</v>
      </c>
      <c r="C215" s="2" t="s">
        <v>703</v>
      </c>
    </row>
    <row r="216">
      <c r="A216" s="1" t="s">
        <v>993</v>
      </c>
      <c r="B216" s="2" t="s">
        <v>994</v>
      </c>
      <c r="C216" s="2" t="s">
        <v>703</v>
      </c>
    </row>
    <row r="217">
      <c r="A217" s="1" t="s">
        <v>997</v>
      </c>
      <c r="B217" s="2" t="s">
        <v>999</v>
      </c>
      <c r="C217" s="2" t="s">
        <v>716</v>
      </c>
    </row>
    <row r="218">
      <c r="A218" s="1" t="s">
        <v>1001</v>
      </c>
      <c r="B218" s="2" t="s">
        <v>1002</v>
      </c>
      <c r="C218" s="2" t="s">
        <v>716</v>
      </c>
    </row>
    <row r="219">
      <c r="A219" s="1" t="s">
        <v>1007</v>
      </c>
      <c r="B219" s="2" t="s">
        <v>1008</v>
      </c>
      <c r="C219" s="2" t="s">
        <v>716</v>
      </c>
    </row>
    <row r="220">
      <c r="A220" s="1" t="s">
        <v>1009</v>
      </c>
      <c r="B220" s="2" t="s">
        <v>1010</v>
      </c>
      <c r="C220" s="2" t="s">
        <v>716</v>
      </c>
    </row>
    <row r="221">
      <c r="A221" s="1" t="s">
        <v>1013</v>
      </c>
      <c r="B221" s="2" t="s">
        <v>1015</v>
      </c>
      <c r="C221" s="2" t="s">
        <v>716</v>
      </c>
    </row>
    <row r="222">
      <c r="A222" s="1" t="s">
        <v>1016</v>
      </c>
      <c r="B222" s="2" t="s">
        <v>1018</v>
      </c>
      <c r="C222" s="2" t="s">
        <v>363</v>
      </c>
    </row>
    <row r="223">
      <c r="A223" s="1" t="s">
        <v>1020</v>
      </c>
      <c r="B223" s="2" t="s">
        <v>1021</v>
      </c>
      <c r="C223" s="2" t="s">
        <v>363</v>
      </c>
    </row>
    <row r="224">
      <c r="A224" s="1" t="s">
        <v>1024</v>
      </c>
      <c r="B224" s="2" t="s">
        <v>1026</v>
      </c>
      <c r="C224" s="2" t="s">
        <v>729</v>
      </c>
    </row>
    <row r="225">
      <c r="A225" s="1" t="s">
        <v>1028</v>
      </c>
      <c r="B225" s="2" t="s">
        <v>1030</v>
      </c>
      <c r="C225" s="2" t="s">
        <v>729</v>
      </c>
    </row>
    <row r="226">
      <c r="A226" s="1" t="s">
        <v>1032</v>
      </c>
      <c r="B226" s="2" t="s">
        <v>1033</v>
      </c>
      <c r="C226" s="2" t="s">
        <v>729</v>
      </c>
    </row>
    <row r="227">
      <c r="A227" s="1" t="s">
        <v>1034</v>
      </c>
      <c r="B227" s="2" t="s">
        <v>1035</v>
      </c>
      <c r="C227" s="2" t="s">
        <v>729</v>
      </c>
    </row>
    <row r="228">
      <c r="A228" s="1" t="s">
        <v>1038</v>
      </c>
      <c r="B228" s="2" t="s">
        <v>1040</v>
      </c>
      <c r="C228" s="2" t="s">
        <v>729</v>
      </c>
    </row>
    <row r="229">
      <c r="A229" s="1" t="s">
        <v>1042</v>
      </c>
      <c r="B229" s="2" t="s">
        <v>1044</v>
      </c>
      <c r="C229" s="2" t="s">
        <v>738</v>
      </c>
    </row>
    <row r="230">
      <c r="A230" s="1" t="s">
        <v>1045</v>
      </c>
      <c r="B230" s="2" t="s">
        <v>1047</v>
      </c>
      <c r="C230" s="2" t="s">
        <v>738</v>
      </c>
    </row>
    <row r="231">
      <c r="A231" s="1" t="s">
        <v>1052</v>
      </c>
      <c r="B231" s="2" t="s">
        <v>1055</v>
      </c>
      <c r="C231" s="2" t="s">
        <v>738</v>
      </c>
    </row>
    <row r="232">
      <c r="A232" s="1" t="s">
        <v>1058</v>
      </c>
      <c r="B232" s="2" t="s">
        <v>1059</v>
      </c>
      <c r="C232" s="2" t="s">
        <v>738</v>
      </c>
    </row>
    <row r="233">
      <c r="A233" s="1" t="s">
        <v>1064</v>
      </c>
      <c r="B233" s="2" t="s">
        <v>1065</v>
      </c>
      <c r="C233" s="2" t="s">
        <v>738</v>
      </c>
    </row>
    <row r="234">
      <c r="A234" s="1" t="s">
        <v>1067</v>
      </c>
      <c r="B234" s="2" t="s">
        <v>1069</v>
      </c>
      <c r="C234" s="2" t="s">
        <v>738</v>
      </c>
    </row>
    <row r="235">
      <c r="A235" s="18" t="s">
        <v>1073</v>
      </c>
      <c r="B235" s="2" t="s">
        <v>1075</v>
      </c>
      <c r="C235" s="2" t="s">
        <v>1076</v>
      </c>
    </row>
    <row r="236">
      <c r="A236" s="1" t="s">
        <v>1079</v>
      </c>
      <c r="B236" s="2" t="s">
        <v>1081</v>
      </c>
      <c r="C236" s="2" t="s">
        <v>1076</v>
      </c>
    </row>
    <row r="237">
      <c r="A237" s="1" t="s">
        <v>1085</v>
      </c>
      <c r="B237" s="2" t="s">
        <v>1086</v>
      </c>
      <c r="C237" s="2" t="s">
        <v>1076</v>
      </c>
    </row>
    <row r="238">
      <c r="A238" s="1" t="s">
        <v>1087</v>
      </c>
      <c r="B238" s="2" t="s">
        <v>1088</v>
      </c>
      <c r="C238" s="2" t="s">
        <v>1089</v>
      </c>
    </row>
    <row r="239">
      <c r="A239" s="1" t="s">
        <v>1091</v>
      </c>
      <c r="B239" s="2" t="s">
        <v>1093</v>
      </c>
      <c r="C239" s="2" t="s">
        <v>1089</v>
      </c>
    </row>
    <row r="240">
      <c r="A240" s="1" t="s">
        <v>1096</v>
      </c>
      <c r="B240" s="2" t="s">
        <v>1097</v>
      </c>
      <c r="C240" s="2" t="s">
        <v>1089</v>
      </c>
    </row>
    <row r="241">
      <c r="A241" s="1" t="s">
        <v>1100</v>
      </c>
      <c r="B241" s="2" t="s">
        <v>1102</v>
      </c>
      <c r="C241" s="2" t="s">
        <v>1089</v>
      </c>
    </row>
    <row r="242">
      <c r="A242" s="1" t="s">
        <v>1106</v>
      </c>
      <c r="B242" s="2" t="s">
        <v>1108</v>
      </c>
      <c r="C242" s="2" t="s">
        <v>1109</v>
      </c>
    </row>
    <row r="243">
      <c r="A243" s="1" t="s">
        <v>1111</v>
      </c>
      <c r="B243" s="2" t="s">
        <v>1114</v>
      </c>
      <c r="C243" s="2" t="s">
        <v>1109</v>
      </c>
    </row>
    <row r="244">
      <c r="A244" s="1" t="s">
        <v>1117</v>
      </c>
      <c r="B244" s="2" t="s">
        <v>1118</v>
      </c>
      <c r="C244" s="2" t="s">
        <v>1109</v>
      </c>
    </row>
    <row r="245">
      <c r="A245" s="1" t="s">
        <v>1121</v>
      </c>
      <c r="B245" s="2" t="s">
        <v>1122</v>
      </c>
      <c r="C245" s="2" t="s">
        <v>1109</v>
      </c>
    </row>
    <row r="246">
      <c r="A246" s="1" t="s">
        <v>1124</v>
      </c>
      <c r="B246" s="2" t="s">
        <v>1126</v>
      </c>
      <c r="C246" s="2" t="s">
        <v>1109</v>
      </c>
    </row>
    <row r="247">
      <c r="A247" s="1" t="s">
        <v>1129</v>
      </c>
      <c r="B247" s="2" t="s">
        <v>1130</v>
      </c>
      <c r="C247" s="2" t="s">
        <v>1109</v>
      </c>
    </row>
    <row r="248">
      <c r="A248" s="1" t="s">
        <v>8</v>
      </c>
      <c r="B248" s="2" t="s">
        <v>9</v>
      </c>
      <c r="C248" s="2" t="s">
        <v>10</v>
      </c>
    </row>
    <row r="249">
      <c r="A249" s="1" t="s">
        <v>1134</v>
      </c>
      <c r="B249" s="2" t="s">
        <v>1135</v>
      </c>
      <c r="C249" s="2" t="s">
        <v>10</v>
      </c>
    </row>
    <row r="250">
      <c r="A250" s="1" t="s">
        <v>1136</v>
      </c>
      <c r="B250" s="2" t="s">
        <v>1138</v>
      </c>
      <c r="C250" s="2" t="s">
        <v>10</v>
      </c>
    </row>
    <row r="251">
      <c r="A251" s="1" t="s">
        <v>1140</v>
      </c>
      <c r="B251" s="2" t="s">
        <v>1141</v>
      </c>
      <c r="C251" s="2" t="s">
        <v>10</v>
      </c>
    </row>
    <row r="252">
      <c r="A252" s="1" t="s">
        <v>1144</v>
      </c>
      <c r="B252" s="2" t="s">
        <v>1145</v>
      </c>
      <c r="C252" s="2" t="s">
        <v>10</v>
      </c>
    </row>
    <row r="253">
      <c r="A253" s="1" t="s">
        <v>1147</v>
      </c>
      <c r="B253" s="2" t="s">
        <v>1149</v>
      </c>
      <c r="C253" s="2" t="s">
        <v>10</v>
      </c>
    </row>
    <row r="254">
      <c r="A254" s="1" t="s">
        <v>1150</v>
      </c>
      <c r="B254" s="2" t="s">
        <v>1152</v>
      </c>
      <c r="C254" s="2" t="s">
        <v>10</v>
      </c>
    </row>
    <row r="255">
      <c r="A255" s="1" t="s">
        <v>1154</v>
      </c>
      <c r="B255" s="2" t="s">
        <v>1155</v>
      </c>
      <c r="C255" s="2" t="s">
        <v>10</v>
      </c>
    </row>
    <row r="256">
      <c r="A256" s="1" t="s">
        <v>1156</v>
      </c>
      <c r="B256" s="2" t="s">
        <v>1157</v>
      </c>
      <c r="C256" s="2" t="s">
        <v>10</v>
      </c>
    </row>
    <row r="257">
      <c r="A257" s="1" t="s">
        <v>1162</v>
      </c>
      <c r="B257" s="2" t="s">
        <v>1163</v>
      </c>
      <c r="C257" s="2" t="s">
        <v>10</v>
      </c>
    </row>
    <row r="258">
      <c r="A258" s="1" t="s">
        <v>1164</v>
      </c>
      <c r="B258" s="2" t="s">
        <v>1165</v>
      </c>
      <c r="C258" s="2" t="s">
        <v>762</v>
      </c>
    </row>
    <row r="259">
      <c r="A259" s="1" t="s">
        <v>1169</v>
      </c>
      <c r="B259" s="2" t="s">
        <v>1171</v>
      </c>
      <c r="C259" s="2" t="s">
        <v>762</v>
      </c>
    </row>
    <row r="260">
      <c r="A260" s="1" t="s">
        <v>1173</v>
      </c>
      <c r="B260" s="2" t="s">
        <v>1174</v>
      </c>
      <c r="C260" s="2" t="s">
        <v>762</v>
      </c>
    </row>
    <row r="261">
      <c r="A261" s="1" t="s">
        <v>1178</v>
      </c>
      <c r="B261" s="2" t="s">
        <v>1180</v>
      </c>
      <c r="C261" s="2" t="s">
        <v>762</v>
      </c>
    </row>
    <row r="262">
      <c r="A262" s="1" t="s">
        <v>1182</v>
      </c>
      <c r="B262" s="2" t="s">
        <v>1183</v>
      </c>
      <c r="C262" s="2" t="s">
        <v>762</v>
      </c>
    </row>
    <row r="263">
      <c r="A263" s="1" t="s">
        <v>1188</v>
      </c>
      <c r="B263" s="2" t="s">
        <v>1189</v>
      </c>
      <c r="C263" s="2" t="s">
        <v>762</v>
      </c>
    </row>
    <row r="264">
      <c r="A264" s="1" t="s">
        <v>1191</v>
      </c>
      <c r="B264" s="2" t="s">
        <v>1192</v>
      </c>
      <c r="C264" s="2" t="s">
        <v>773</v>
      </c>
    </row>
    <row r="265">
      <c r="A265" s="1" t="s">
        <v>1197</v>
      </c>
      <c r="B265" s="2" t="s">
        <v>1200</v>
      </c>
      <c r="C265" s="2" t="s">
        <v>773</v>
      </c>
    </row>
    <row r="266">
      <c r="A266" s="1" t="s">
        <v>1201</v>
      </c>
      <c r="B266" s="2" t="s">
        <v>1203</v>
      </c>
      <c r="C266" s="2" t="s">
        <v>773</v>
      </c>
    </row>
    <row r="267">
      <c r="A267" s="1" t="s">
        <v>1207</v>
      </c>
      <c r="B267" s="2" t="s">
        <v>1209</v>
      </c>
      <c r="C267" s="2" t="s">
        <v>773</v>
      </c>
    </row>
    <row r="268">
      <c r="A268" s="1" t="s">
        <v>1210</v>
      </c>
      <c r="B268" s="2" t="s">
        <v>1212</v>
      </c>
      <c r="C268" s="2" t="s">
        <v>1215</v>
      </c>
    </row>
    <row r="269">
      <c r="A269" s="1" t="s">
        <v>1218</v>
      </c>
      <c r="B269" s="2" t="s">
        <v>1219</v>
      </c>
      <c r="C269" s="2" t="s">
        <v>1215</v>
      </c>
    </row>
    <row r="270">
      <c r="A270" s="1" t="s">
        <v>1223</v>
      </c>
      <c r="B270" s="2" t="s">
        <v>1225</v>
      </c>
      <c r="C270" s="2" t="s">
        <v>1215</v>
      </c>
    </row>
    <row r="271">
      <c r="A271" s="1" t="s">
        <v>1228</v>
      </c>
      <c r="B271" s="2" t="s">
        <v>1231</v>
      </c>
      <c r="C271" s="2" t="s">
        <v>1215</v>
      </c>
    </row>
    <row r="272">
      <c r="A272" s="1" t="s">
        <v>1234</v>
      </c>
      <c r="B272" s="2" t="s">
        <v>1236</v>
      </c>
      <c r="C272" s="2" t="s">
        <v>1215</v>
      </c>
    </row>
    <row r="273">
      <c r="A273" s="1" t="s">
        <v>1240</v>
      </c>
      <c r="B273" s="2" t="s">
        <v>1241</v>
      </c>
      <c r="C273" s="2" t="s">
        <v>1215</v>
      </c>
    </row>
    <row r="274">
      <c r="A274" s="1" t="s">
        <v>1245</v>
      </c>
      <c r="B274" s="2" t="s">
        <v>1247</v>
      </c>
      <c r="C274" s="2" t="s">
        <v>781</v>
      </c>
    </row>
    <row r="275">
      <c r="A275" s="1" t="s">
        <v>1253</v>
      </c>
      <c r="B275" s="2" t="s">
        <v>1330</v>
      </c>
      <c r="C275" s="2" t="s">
        <v>781</v>
      </c>
    </row>
    <row r="276">
      <c r="A276" s="1" t="s">
        <v>1333</v>
      </c>
      <c r="B276" s="2" t="s">
        <v>1335</v>
      </c>
      <c r="C276" s="2" t="s">
        <v>781</v>
      </c>
    </row>
    <row r="277">
      <c r="A277" s="1" t="s">
        <v>1337</v>
      </c>
      <c r="B277" s="2" t="s">
        <v>1338</v>
      </c>
      <c r="C277" s="2" t="s">
        <v>781</v>
      </c>
    </row>
    <row r="278">
      <c r="A278" s="1" t="s">
        <v>1341</v>
      </c>
      <c r="B278" s="2" t="s">
        <v>1342</v>
      </c>
      <c r="C278" s="2" t="s">
        <v>1343</v>
      </c>
    </row>
    <row r="279">
      <c r="A279" s="1" t="s">
        <v>1344</v>
      </c>
      <c r="B279" s="2" t="s">
        <v>1346</v>
      </c>
      <c r="C279" s="2" t="s">
        <v>1343</v>
      </c>
    </row>
    <row r="280">
      <c r="A280" s="1" t="s">
        <v>1350</v>
      </c>
      <c r="B280" s="2" t="s">
        <v>1351</v>
      </c>
      <c r="C280" s="2" t="s">
        <v>1343</v>
      </c>
    </row>
    <row r="281">
      <c r="A281" s="1" t="s">
        <v>1352</v>
      </c>
      <c r="B281" s="2" t="s">
        <v>1355</v>
      </c>
      <c r="C281" s="2" t="s">
        <v>1343</v>
      </c>
    </row>
    <row r="282">
      <c r="A282" s="1" t="s">
        <v>1358</v>
      </c>
      <c r="B282" s="2" t="s">
        <v>1359</v>
      </c>
      <c r="C282" s="2" t="s">
        <v>795</v>
      </c>
    </row>
    <row r="283">
      <c r="A283" s="1" t="s">
        <v>1362</v>
      </c>
      <c r="B283" s="2" t="s">
        <v>1363</v>
      </c>
      <c r="C283" s="2" t="s">
        <v>795</v>
      </c>
    </row>
    <row r="284">
      <c r="A284" s="1" t="s">
        <v>1364</v>
      </c>
      <c r="B284" s="2" t="s">
        <v>1365</v>
      </c>
      <c r="C284" s="2" t="s">
        <v>795</v>
      </c>
    </row>
    <row r="285">
      <c r="A285" s="1" t="s">
        <v>1367</v>
      </c>
      <c r="B285" s="2" t="s">
        <v>1370</v>
      </c>
      <c r="C285" s="2" t="s">
        <v>795</v>
      </c>
    </row>
    <row r="286">
      <c r="A286" s="1" t="s">
        <v>1372</v>
      </c>
      <c r="B286" s="2" t="s">
        <v>1375</v>
      </c>
      <c r="C286" s="2" t="s">
        <v>386</v>
      </c>
    </row>
    <row r="287">
      <c r="A287" s="1" t="s">
        <v>1377</v>
      </c>
      <c r="B287" s="2" t="s">
        <v>1379</v>
      </c>
      <c r="C287" s="2" t="s">
        <v>386</v>
      </c>
    </row>
    <row r="288">
      <c r="A288" s="1" t="s">
        <v>1383</v>
      </c>
      <c r="B288" s="2" t="s">
        <v>1385</v>
      </c>
      <c r="C288" s="2" t="s">
        <v>386</v>
      </c>
    </row>
    <row r="289">
      <c r="A289" s="1" t="s">
        <v>1387</v>
      </c>
      <c r="B289" s="2" t="s">
        <v>1390</v>
      </c>
      <c r="C289" s="2" t="s">
        <v>816</v>
      </c>
    </row>
    <row r="290">
      <c r="A290" s="1" t="s">
        <v>1393</v>
      </c>
      <c r="B290" s="2" t="s">
        <v>1394</v>
      </c>
      <c r="C290" s="2" t="s">
        <v>816</v>
      </c>
    </row>
    <row r="291">
      <c r="A291" s="1" t="s">
        <v>1398</v>
      </c>
      <c r="B291" s="2" t="s">
        <v>1400</v>
      </c>
      <c r="C291" s="2" t="s">
        <v>816</v>
      </c>
    </row>
    <row r="292">
      <c r="A292" s="1" t="s">
        <v>1401</v>
      </c>
      <c r="B292" s="2" t="s">
        <v>1402</v>
      </c>
      <c r="C292" s="2" t="s">
        <v>816</v>
      </c>
    </row>
    <row r="293">
      <c r="A293" s="1" t="s">
        <v>1406</v>
      </c>
      <c r="B293" s="2" t="s">
        <v>1409</v>
      </c>
      <c r="C293" s="2" t="s">
        <v>816</v>
      </c>
    </row>
    <row r="294">
      <c r="A294" s="1" t="s">
        <v>1411</v>
      </c>
      <c r="B294" s="2" t="s">
        <v>1412</v>
      </c>
      <c r="C294" s="2" t="s">
        <v>824</v>
      </c>
    </row>
    <row r="295">
      <c r="A295" s="1" t="s">
        <v>1416</v>
      </c>
      <c r="B295" s="2" t="s">
        <v>1418</v>
      </c>
      <c r="C295" s="2" t="s">
        <v>824</v>
      </c>
    </row>
    <row r="296">
      <c r="A296" s="1" t="s">
        <v>1420</v>
      </c>
      <c r="B296" s="2" t="s">
        <v>1421</v>
      </c>
      <c r="C296" s="2" t="s">
        <v>824</v>
      </c>
    </row>
    <row r="297">
      <c r="A297" s="1" t="s">
        <v>968</v>
      </c>
      <c r="B297" s="2" t="s">
        <v>969</v>
      </c>
      <c r="C297" s="2" t="s">
        <v>824</v>
      </c>
    </row>
    <row r="298">
      <c r="A298" s="1" t="s">
        <v>1428</v>
      </c>
      <c r="B298" s="2" t="s">
        <v>1429</v>
      </c>
      <c r="C298" s="2" t="s">
        <v>830</v>
      </c>
    </row>
    <row r="299">
      <c r="A299" s="1" t="s">
        <v>1434</v>
      </c>
      <c r="B299" s="2" t="s">
        <v>1436</v>
      </c>
      <c r="C299" s="2" t="s">
        <v>830</v>
      </c>
    </row>
    <row r="300">
      <c r="A300" s="1" t="s">
        <v>1439</v>
      </c>
      <c r="B300" s="2" t="s">
        <v>1441</v>
      </c>
      <c r="C300" s="2" t="s">
        <v>830</v>
      </c>
    </row>
    <row r="301">
      <c r="A301" s="1" t="s">
        <v>1444</v>
      </c>
      <c r="B301" s="2" t="s">
        <v>1447</v>
      </c>
      <c r="C301" s="2" t="s">
        <v>830</v>
      </c>
    </row>
    <row r="302">
      <c r="A302" s="1" t="s">
        <v>1453</v>
      </c>
      <c r="B302" s="2" t="s">
        <v>1454</v>
      </c>
      <c r="C302" s="2" t="s">
        <v>830</v>
      </c>
    </row>
    <row r="303">
      <c r="A303" s="1" t="s">
        <v>1459</v>
      </c>
      <c r="B303" s="2" t="s">
        <v>1461</v>
      </c>
      <c r="C303" s="2" t="s">
        <v>830</v>
      </c>
    </row>
    <row r="304">
      <c r="A304" s="1" t="s">
        <v>1235</v>
      </c>
      <c r="B304" s="2" t="s">
        <v>1237</v>
      </c>
      <c r="C304" s="2" t="s">
        <v>830</v>
      </c>
    </row>
    <row r="305">
      <c r="A305" s="1" t="s">
        <v>1467</v>
      </c>
      <c r="B305" s="2" t="s">
        <v>1468</v>
      </c>
      <c r="C305" s="2" t="s">
        <v>847</v>
      </c>
    </row>
    <row r="306">
      <c r="A306" s="1" t="s">
        <v>1470</v>
      </c>
      <c r="B306" s="2" t="s">
        <v>1472</v>
      </c>
      <c r="C306" s="2" t="s">
        <v>847</v>
      </c>
    </row>
    <row r="307">
      <c r="A307" s="1" t="s">
        <v>1473</v>
      </c>
      <c r="B307" s="2" t="s">
        <v>1475</v>
      </c>
      <c r="C307" s="2" t="s">
        <v>847</v>
      </c>
    </row>
    <row r="308">
      <c r="A308" s="1" t="s">
        <v>1480</v>
      </c>
      <c r="B308" s="2" t="s">
        <v>1481</v>
      </c>
      <c r="C308" s="2" t="s">
        <v>726</v>
      </c>
    </row>
    <row r="309">
      <c r="A309" s="1" t="s">
        <v>1482</v>
      </c>
      <c r="B309" s="2" t="s">
        <v>1483</v>
      </c>
      <c r="C309" s="2" t="s">
        <v>726</v>
      </c>
    </row>
    <row r="310">
      <c r="A310" s="1" t="s">
        <v>722</v>
      </c>
      <c r="B310" s="2" t="s">
        <v>723</v>
      </c>
      <c r="C310" s="2" t="s">
        <v>726</v>
      </c>
    </row>
    <row r="311">
      <c r="A311" s="1" t="s">
        <v>1484</v>
      </c>
      <c r="B311" s="2" t="s">
        <v>1485</v>
      </c>
      <c r="C311" s="2" t="s">
        <v>1321</v>
      </c>
    </row>
    <row r="312">
      <c r="A312" s="1" t="s">
        <v>1487</v>
      </c>
      <c r="B312" s="2" t="s">
        <v>1488</v>
      </c>
      <c r="C312" s="2" t="s">
        <v>1321</v>
      </c>
    </row>
    <row r="313">
      <c r="A313" s="1" t="s">
        <v>1489</v>
      </c>
      <c r="B313" s="2" t="s">
        <v>1491</v>
      </c>
      <c r="C313" s="2" t="s">
        <v>1321</v>
      </c>
    </row>
    <row r="314">
      <c r="A314" s="1" t="s">
        <v>1494</v>
      </c>
      <c r="B314" s="2" t="s">
        <v>1495</v>
      </c>
      <c r="C314" s="2" t="s">
        <v>1321</v>
      </c>
    </row>
    <row r="315">
      <c r="A315" s="1" t="s">
        <v>1498</v>
      </c>
      <c r="B315" s="2" t="s">
        <v>1499</v>
      </c>
      <c r="C315" s="2" t="s">
        <v>1321</v>
      </c>
    </row>
    <row r="316">
      <c r="A316" s="1" t="s">
        <v>1501</v>
      </c>
      <c r="B316" s="2" t="s">
        <v>1503</v>
      </c>
      <c r="C316" s="2" t="s">
        <v>879</v>
      </c>
    </row>
    <row r="317">
      <c r="A317" s="1" t="s">
        <v>1505</v>
      </c>
      <c r="B317" s="2" t="s">
        <v>1507</v>
      </c>
      <c r="C317" s="2" t="s">
        <v>879</v>
      </c>
    </row>
    <row r="318">
      <c r="A318" s="1" t="s">
        <v>1509</v>
      </c>
      <c r="B318" s="2" t="s">
        <v>1510</v>
      </c>
      <c r="C318" s="2" t="s">
        <v>1512</v>
      </c>
    </row>
    <row r="319">
      <c r="A319" s="1" t="s">
        <v>1514</v>
      </c>
      <c r="B319" s="2" t="s">
        <v>1515</v>
      </c>
      <c r="C319" s="2" t="s">
        <v>1512</v>
      </c>
    </row>
    <row r="320">
      <c r="A320" s="1" t="s">
        <v>19</v>
      </c>
      <c r="B320" s="2" t="s">
        <v>20</v>
      </c>
      <c r="C320" s="2" t="s">
        <v>21</v>
      </c>
    </row>
    <row r="321">
      <c r="A321" s="1" t="s">
        <v>1519</v>
      </c>
      <c r="B321" s="2" t="s">
        <v>1521</v>
      </c>
      <c r="C321" s="2" t="s">
        <v>21</v>
      </c>
    </row>
    <row r="322">
      <c r="A322" s="1" t="s">
        <v>1523</v>
      </c>
      <c r="B322" s="2" t="s">
        <v>1524</v>
      </c>
      <c r="C322" s="2" t="s">
        <v>21</v>
      </c>
    </row>
    <row r="323">
      <c r="A323" s="1" t="s">
        <v>1527</v>
      </c>
      <c r="B323" s="2" t="s">
        <v>1528</v>
      </c>
      <c r="C323" s="2" t="s">
        <v>21</v>
      </c>
    </row>
    <row r="324">
      <c r="A324" s="1" t="s">
        <v>1530</v>
      </c>
      <c r="B324" s="2" t="s">
        <v>1533</v>
      </c>
      <c r="C324" s="2" t="s">
        <v>21</v>
      </c>
    </row>
    <row r="325">
      <c r="A325" s="1" t="s">
        <v>1534</v>
      </c>
      <c r="B325" s="2" t="s">
        <v>1535</v>
      </c>
      <c r="C325" s="2" t="s">
        <v>21</v>
      </c>
    </row>
    <row r="326">
      <c r="A326" s="1" t="s">
        <v>1543</v>
      </c>
      <c r="B326" s="2" t="s">
        <v>1544</v>
      </c>
      <c r="C326" s="2" t="s">
        <v>1545</v>
      </c>
    </row>
    <row r="327">
      <c r="A327" s="1" t="s">
        <v>1546</v>
      </c>
      <c r="B327" s="2" t="s">
        <v>1549</v>
      </c>
      <c r="C327" s="2" t="s">
        <v>1545</v>
      </c>
    </row>
    <row r="328">
      <c r="A328" s="1" t="s">
        <v>1551</v>
      </c>
      <c r="B328" s="2" t="s">
        <v>1552</v>
      </c>
      <c r="C328" s="2" t="s">
        <v>1545</v>
      </c>
    </row>
    <row r="329">
      <c r="A329" s="1" t="s">
        <v>1470</v>
      </c>
      <c r="B329" s="2" t="s">
        <v>1555</v>
      </c>
      <c r="C329" s="2" t="s">
        <v>852</v>
      </c>
    </row>
    <row r="330">
      <c r="A330" s="1" t="s">
        <v>1558</v>
      </c>
      <c r="B330" s="2" t="s">
        <v>1559</v>
      </c>
      <c r="C330" s="2" t="s">
        <v>852</v>
      </c>
    </row>
    <row r="331">
      <c r="A331" s="1" t="s">
        <v>1561</v>
      </c>
      <c r="B331" s="2" t="s">
        <v>1563</v>
      </c>
      <c r="C331" s="2" t="s">
        <v>852</v>
      </c>
    </row>
    <row r="332">
      <c r="A332" s="1" t="s">
        <v>1564</v>
      </c>
      <c r="B332" s="2" t="s">
        <v>1566</v>
      </c>
      <c r="C332" s="2" t="s">
        <v>852</v>
      </c>
    </row>
    <row r="333">
      <c r="A333" s="1" t="s">
        <v>1568</v>
      </c>
      <c r="B333" s="2" t="s">
        <v>1569</v>
      </c>
      <c r="C333" s="2" t="s">
        <v>852</v>
      </c>
    </row>
    <row r="334">
      <c r="A334" s="1" t="s">
        <v>1572</v>
      </c>
      <c r="B334" s="2" t="s">
        <v>1573</v>
      </c>
      <c r="C334" s="2" t="s">
        <v>302</v>
      </c>
    </row>
    <row r="335">
      <c r="A335" s="1" t="s">
        <v>1576</v>
      </c>
      <c r="B335" s="2" t="s">
        <v>1577</v>
      </c>
      <c r="C335" s="2" t="s">
        <v>268</v>
      </c>
    </row>
    <row r="336">
      <c r="A336" s="1" t="s">
        <v>264</v>
      </c>
      <c r="B336" s="2" t="s">
        <v>265</v>
      </c>
      <c r="C336" s="2" t="s">
        <v>268</v>
      </c>
    </row>
    <row r="337">
      <c r="A337" s="1" t="s">
        <v>1583</v>
      </c>
      <c r="B337" s="2" t="s">
        <v>1584</v>
      </c>
      <c r="C337" s="2" t="s">
        <v>318</v>
      </c>
    </row>
    <row r="338">
      <c r="A338" s="1" t="s">
        <v>1586</v>
      </c>
      <c r="B338" s="2" t="s">
        <v>1588</v>
      </c>
      <c r="C338" s="2" t="s">
        <v>318</v>
      </c>
    </row>
    <row r="339">
      <c r="A339" s="1" t="s">
        <v>1589</v>
      </c>
      <c r="B339" s="2" t="s">
        <v>1590</v>
      </c>
      <c r="C339" s="2" t="s">
        <v>52</v>
      </c>
    </row>
    <row r="340">
      <c r="A340" s="1" t="s">
        <v>1592</v>
      </c>
      <c r="B340" s="2" t="s">
        <v>1593</v>
      </c>
      <c r="C340" s="2" t="s">
        <v>710</v>
      </c>
    </row>
    <row r="341">
      <c r="A341" s="1" t="s">
        <v>1596</v>
      </c>
      <c r="B341" s="2" t="s">
        <v>1597</v>
      </c>
      <c r="C341" s="2" t="s">
        <v>354</v>
      </c>
    </row>
    <row r="342">
      <c r="A342" s="1" t="s">
        <v>1600</v>
      </c>
      <c r="B342" s="2" t="s">
        <v>1601</v>
      </c>
      <c r="C342" s="2" t="s">
        <v>354</v>
      </c>
    </row>
    <row r="343">
      <c r="A343" s="1" t="s">
        <v>1603</v>
      </c>
      <c r="B343" s="2" t="s">
        <v>1605</v>
      </c>
      <c r="C343" s="2" t="s">
        <v>1606</v>
      </c>
    </row>
    <row r="344">
      <c r="A344" s="1" t="s">
        <v>1608</v>
      </c>
      <c r="B344" s="2" t="s">
        <v>1610</v>
      </c>
      <c r="C344" s="2" t="s">
        <v>1606</v>
      </c>
    </row>
    <row r="345">
      <c r="A345" s="1" t="s">
        <v>1612</v>
      </c>
      <c r="B345" s="2" t="s">
        <v>1613</v>
      </c>
      <c r="C345" s="2" t="s">
        <v>1606</v>
      </c>
    </row>
    <row r="346">
      <c r="A346" s="1" t="s">
        <v>1616</v>
      </c>
      <c r="B346" s="2" t="s">
        <v>1617</v>
      </c>
      <c r="C346" s="2" t="s">
        <v>1606</v>
      </c>
    </row>
    <row r="347">
      <c r="A347" s="1" t="s">
        <v>1619</v>
      </c>
      <c r="B347" s="2" t="s">
        <v>1621</v>
      </c>
      <c r="C347" s="2" t="s">
        <v>944</v>
      </c>
    </row>
    <row r="348">
      <c r="A348" s="1" t="s">
        <v>1622</v>
      </c>
      <c r="B348" s="2" t="s">
        <v>1624</v>
      </c>
      <c r="C348" s="2" t="s">
        <v>944</v>
      </c>
    </row>
    <row r="349">
      <c r="A349" s="1" t="s">
        <v>1626</v>
      </c>
      <c r="B349" s="2" t="s">
        <v>1627</v>
      </c>
      <c r="C349" s="2" t="s">
        <v>944</v>
      </c>
    </row>
    <row r="350">
      <c r="A350" s="1" t="s">
        <v>1629</v>
      </c>
      <c r="B350" s="2" t="s">
        <v>1630</v>
      </c>
      <c r="C350" s="2" t="s">
        <v>944</v>
      </c>
    </row>
    <row r="351">
      <c r="A351" s="1" t="s">
        <v>1632</v>
      </c>
      <c r="B351" s="2" t="s">
        <v>1634</v>
      </c>
      <c r="C351" s="2" t="s">
        <v>944</v>
      </c>
    </row>
    <row r="352">
      <c r="A352" s="1" t="s">
        <v>1636</v>
      </c>
      <c r="B352" s="2" t="s">
        <v>1638</v>
      </c>
      <c r="C352" s="2" t="s">
        <v>944</v>
      </c>
    </row>
    <row r="353">
      <c r="A353" s="1" t="s">
        <v>1641</v>
      </c>
      <c r="B353" s="2" t="s">
        <v>1642</v>
      </c>
      <c r="C353" s="2" t="s">
        <v>944</v>
      </c>
    </row>
    <row r="354">
      <c r="A354" s="1" t="s">
        <v>1645</v>
      </c>
      <c r="B354" s="2" t="s">
        <v>1646</v>
      </c>
      <c r="C354" s="2" t="s">
        <v>1647</v>
      </c>
    </row>
    <row r="355">
      <c r="A355" s="1" t="s">
        <v>1649</v>
      </c>
      <c r="B355" s="2" t="s">
        <v>1651</v>
      </c>
      <c r="C355" s="2" t="s">
        <v>1647</v>
      </c>
    </row>
    <row r="356">
      <c r="A356" s="1" t="s">
        <v>1652</v>
      </c>
      <c r="B356" s="2" t="s">
        <v>1654</v>
      </c>
      <c r="C356" s="2" t="s">
        <v>1647</v>
      </c>
    </row>
    <row r="357">
      <c r="A357" s="1" t="s">
        <v>1657</v>
      </c>
      <c r="B357" s="2" t="s">
        <v>1658</v>
      </c>
      <c r="C357" s="2" t="s">
        <v>1647</v>
      </c>
    </row>
    <row r="358">
      <c r="A358" s="1" t="s">
        <v>1661</v>
      </c>
      <c r="B358" s="2" t="s">
        <v>1662</v>
      </c>
      <c r="C358" s="2" t="s">
        <v>1647</v>
      </c>
    </row>
    <row r="359">
      <c r="A359" s="1" t="s">
        <v>1664</v>
      </c>
      <c r="B359" s="2" t="s">
        <v>1666</v>
      </c>
      <c r="C359" s="2" t="s">
        <v>843</v>
      </c>
    </row>
    <row r="360">
      <c r="A360" s="1" t="s">
        <v>1668</v>
      </c>
      <c r="B360" s="2" t="s">
        <v>1670</v>
      </c>
      <c r="C360" s="2" t="s">
        <v>843</v>
      </c>
    </row>
    <row r="361">
      <c r="A361" s="1" t="s">
        <v>1671</v>
      </c>
      <c r="B361" s="2" t="s">
        <v>1673</v>
      </c>
      <c r="C361" s="2" t="s">
        <v>843</v>
      </c>
    </row>
    <row r="362">
      <c r="A362" s="1" t="s">
        <v>1675</v>
      </c>
      <c r="B362" s="2" t="s">
        <v>1676</v>
      </c>
      <c r="C362" s="2" t="s">
        <v>843</v>
      </c>
    </row>
    <row r="363">
      <c r="A363" s="1" t="s">
        <v>1679</v>
      </c>
      <c r="B363" s="2" t="s">
        <v>1680</v>
      </c>
      <c r="C363" s="2" t="s">
        <v>843</v>
      </c>
    </row>
    <row r="364">
      <c r="A364" s="1" t="s">
        <v>1681</v>
      </c>
      <c r="B364" s="2" t="s">
        <v>1683</v>
      </c>
      <c r="C364" s="2" t="s">
        <v>843</v>
      </c>
    </row>
    <row r="365">
      <c r="A365" s="1" t="s">
        <v>1685</v>
      </c>
      <c r="B365" s="2" t="s">
        <v>1686</v>
      </c>
      <c r="C365" s="2" t="s">
        <v>836</v>
      </c>
    </row>
    <row r="366">
      <c r="A366" s="1" t="s">
        <v>831</v>
      </c>
      <c r="B366" s="2" t="s">
        <v>833</v>
      </c>
      <c r="C366" s="2" t="s">
        <v>836</v>
      </c>
    </row>
    <row r="367">
      <c r="A367" s="1" t="s">
        <v>1691</v>
      </c>
      <c r="B367" s="2" t="s">
        <v>1692</v>
      </c>
      <c r="C367" s="2" t="s">
        <v>836</v>
      </c>
    </row>
    <row r="368">
      <c r="A368" s="1" t="s">
        <v>1694</v>
      </c>
      <c r="B368" s="2" t="s">
        <v>1696</v>
      </c>
      <c r="C368" s="2" t="s">
        <v>836</v>
      </c>
    </row>
    <row r="369">
      <c r="A369" s="1" t="s">
        <v>1697</v>
      </c>
      <c r="B369" s="2" t="s">
        <v>1699</v>
      </c>
      <c r="C369" s="2" t="s">
        <v>836</v>
      </c>
    </row>
    <row r="370">
      <c r="A370" s="1" t="s">
        <v>1701</v>
      </c>
      <c r="B370" s="2" t="s">
        <v>1702</v>
      </c>
      <c r="C370" s="2" t="s">
        <v>1272</v>
      </c>
    </row>
    <row r="371">
      <c r="A371" s="1" t="s">
        <v>1705</v>
      </c>
      <c r="B371" s="2" t="s">
        <v>1706</v>
      </c>
      <c r="C371" s="2" t="s">
        <v>1272</v>
      </c>
    </row>
    <row r="372">
      <c r="A372" s="1" t="s">
        <v>407</v>
      </c>
      <c r="B372" s="2" t="s">
        <v>1710</v>
      </c>
      <c r="C372" s="2" t="s">
        <v>1272</v>
      </c>
    </row>
    <row r="373">
      <c r="A373" s="1" t="s">
        <v>1717</v>
      </c>
      <c r="B373" s="2" t="s">
        <v>1718</v>
      </c>
      <c r="C373" s="2" t="s">
        <v>1272</v>
      </c>
    </row>
    <row r="374">
      <c r="A374" s="1" t="s">
        <v>1719</v>
      </c>
      <c r="B374" s="2" t="s">
        <v>1720</v>
      </c>
      <c r="C374" s="2" t="s">
        <v>861</v>
      </c>
    </row>
    <row r="375">
      <c r="A375" s="1" t="s">
        <v>1721</v>
      </c>
      <c r="B375" s="2" t="s">
        <v>1722</v>
      </c>
      <c r="C375" s="2" t="s">
        <v>861</v>
      </c>
    </row>
    <row r="376">
      <c r="A376" s="1" t="s">
        <v>1723</v>
      </c>
      <c r="B376" s="2" t="s">
        <v>1724</v>
      </c>
      <c r="C376" s="2" t="s">
        <v>861</v>
      </c>
    </row>
    <row r="377">
      <c r="A377" s="1" t="s">
        <v>1725</v>
      </c>
      <c r="B377" s="2" t="s">
        <v>1726</v>
      </c>
      <c r="C377" s="2" t="s">
        <v>861</v>
      </c>
    </row>
    <row r="378">
      <c r="A378" s="1" t="s">
        <v>1727</v>
      </c>
      <c r="B378" s="2" t="s">
        <v>1728</v>
      </c>
      <c r="C378" s="2" t="s">
        <v>861</v>
      </c>
    </row>
    <row r="379">
      <c r="A379" s="1" t="s">
        <v>1729</v>
      </c>
      <c r="B379" s="2" t="s">
        <v>1730</v>
      </c>
      <c r="C379" s="2" t="s">
        <v>325</v>
      </c>
    </row>
    <row r="380">
      <c r="A380" s="1" t="s">
        <v>1731</v>
      </c>
      <c r="B380" s="2" t="s">
        <v>1732</v>
      </c>
      <c r="C380" s="2" t="s">
        <v>998</v>
      </c>
    </row>
    <row r="381">
      <c r="A381" s="1" t="s">
        <v>1733</v>
      </c>
      <c r="B381" s="2" t="s">
        <v>1734</v>
      </c>
      <c r="C381" s="2" t="s">
        <v>998</v>
      </c>
    </row>
    <row r="382">
      <c r="A382" s="1" t="s">
        <v>1735</v>
      </c>
      <c r="B382" s="2" t="s">
        <v>1737</v>
      </c>
      <c r="C382" s="2" t="s">
        <v>998</v>
      </c>
    </row>
    <row r="383">
      <c r="A383" s="1" t="s">
        <v>1739</v>
      </c>
      <c r="B383" s="2" t="s">
        <v>1740</v>
      </c>
      <c r="C383" s="2" t="s">
        <v>998</v>
      </c>
    </row>
    <row r="384">
      <c r="A384" s="1" t="s">
        <v>1743</v>
      </c>
      <c r="B384" s="2" t="s">
        <v>1744</v>
      </c>
      <c r="C384" s="2" t="s">
        <v>1014</v>
      </c>
    </row>
    <row r="385">
      <c r="A385" s="1" t="s">
        <v>1747</v>
      </c>
      <c r="B385" s="2" t="s">
        <v>1748</v>
      </c>
      <c r="C385" s="2" t="s">
        <v>1014</v>
      </c>
    </row>
    <row r="386">
      <c r="A386" s="1" t="s">
        <v>1750</v>
      </c>
      <c r="B386" s="2" t="s">
        <v>1752</v>
      </c>
      <c r="C386" s="2" t="s">
        <v>1014</v>
      </c>
    </row>
    <row r="387">
      <c r="A387" s="1" t="s">
        <v>1753</v>
      </c>
      <c r="B387" s="2" t="s">
        <v>1755</v>
      </c>
      <c r="C387" s="2" t="s">
        <v>1025</v>
      </c>
    </row>
    <row r="388">
      <c r="A388" s="1" t="s">
        <v>1757</v>
      </c>
      <c r="B388" s="2" t="s">
        <v>1758</v>
      </c>
      <c r="C388" s="2" t="s">
        <v>1025</v>
      </c>
    </row>
    <row r="389">
      <c r="A389" s="1" t="s">
        <v>1761</v>
      </c>
      <c r="B389" s="2" t="s">
        <v>1762</v>
      </c>
      <c r="C389" s="2" t="s">
        <v>1025</v>
      </c>
    </row>
    <row r="390">
      <c r="A390" s="1" t="s">
        <v>1764</v>
      </c>
      <c r="B390" s="2" t="s">
        <v>1766</v>
      </c>
      <c r="C390" s="2" t="s">
        <v>1025</v>
      </c>
    </row>
    <row r="391">
      <c r="A391" s="1" t="s">
        <v>1768</v>
      </c>
      <c r="B391" s="2" t="s">
        <v>1770</v>
      </c>
      <c r="C391" s="2" t="s">
        <v>1025</v>
      </c>
    </row>
    <row r="392">
      <c r="A392" s="1" t="s">
        <v>1772</v>
      </c>
      <c r="B392" s="2" t="s">
        <v>1773</v>
      </c>
      <c r="C392" s="2" t="s">
        <v>1025</v>
      </c>
    </row>
    <row r="393">
      <c r="A393" s="1" t="s">
        <v>1777</v>
      </c>
      <c r="B393" s="2" t="s">
        <v>1778</v>
      </c>
      <c r="C393" s="2" t="s">
        <v>1025</v>
      </c>
    </row>
    <row r="394">
      <c r="A394" s="1" t="s">
        <v>510</v>
      </c>
      <c r="B394" s="2" t="s">
        <v>1781</v>
      </c>
      <c r="C394" s="2" t="s">
        <v>346</v>
      </c>
    </row>
    <row r="395">
      <c r="A395" s="1" t="s">
        <v>1784</v>
      </c>
      <c r="B395" s="2" t="s">
        <v>1787</v>
      </c>
      <c r="C395" s="2" t="s">
        <v>346</v>
      </c>
    </row>
    <row r="396">
      <c r="A396" s="1" t="s">
        <v>1790</v>
      </c>
      <c r="B396" s="2" t="s">
        <v>1791</v>
      </c>
      <c r="C396" s="2" t="s">
        <v>346</v>
      </c>
    </row>
    <row r="397">
      <c r="A397" s="1" t="s">
        <v>1794</v>
      </c>
      <c r="B397" s="2" t="s">
        <v>1795</v>
      </c>
      <c r="C397" s="2" t="s">
        <v>421</v>
      </c>
    </row>
    <row r="398">
      <c r="A398" s="1" t="s">
        <v>1797</v>
      </c>
      <c r="B398" s="2" t="s">
        <v>1799</v>
      </c>
      <c r="C398" s="2" t="s">
        <v>421</v>
      </c>
    </row>
    <row r="399">
      <c r="A399" s="1" t="s">
        <v>1801</v>
      </c>
      <c r="B399" s="2" t="s">
        <v>1803</v>
      </c>
      <c r="C399" s="2" t="s">
        <v>38</v>
      </c>
    </row>
    <row r="400">
      <c r="A400" s="1" t="s">
        <v>1805</v>
      </c>
      <c r="B400" s="2" t="s">
        <v>1806</v>
      </c>
      <c r="C400" s="2" t="s">
        <v>38</v>
      </c>
    </row>
    <row r="401">
      <c r="A401" s="1" t="s">
        <v>598</v>
      </c>
      <c r="B401" s="2" t="s">
        <v>600</v>
      </c>
      <c r="C401" s="2" t="s">
        <v>38</v>
      </c>
    </row>
    <row r="402">
      <c r="A402" s="1" t="s">
        <v>1812</v>
      </c>
      <c r="B402" s="2" t="s">
        <v>1813</v>
      </c>
      <c r="C402" s="2" t="s">
        <v>273</v>
      </c>
    </row>
    <row r="403">
      <c r="A403" s="1" t="s">
        <v>1815</v>
      </c>
      <c r="B403" s="2" t="s">
        <v>1818</v>
      </c>
      <c r="C403" s="2" t="s">
        <v>621</v>
      </c>
    </row>
    <row r="404">
      <c r="A404" s="1" t="s">
        <v>1820</v>
      </c>
      <c r="B404" s="2" t="s">
        <v>1822</v>
      </c>
      <c r="C404" s="2" t="s">
        <v>621</v>
      </c>
    </row>
    <row r="405">
      <c r="A405" s="1" t="s">
        <v>618</v>
      </c>
      <c r="B405" s="2" t="s">
        <v>620</v>
      </c>
      <c r="C405" s="2" t="s">
        <v>621</v>
      </c>
    </row>
    <row r="406">
      <c r="A406" s="1" t="s">
        <v>1826</v>
      </c>
      <c r="B406" s="2" t="s">
        <v>1827</v>
      </c>
      <c r="C406" s="2" t="s">
        <v>1049</v>
      </c>
    </row>
    <row r="407">
      <c r="A407" s="1" t="s">
        <v>1829</v>
      </c>
      <c r="B407" s="2" t="s">
        <v>1832</v>
      </c>
      <c r="C407" s="2" t="s">
        <v>1049</v>
      </c>
    </row>
    <row r="408">
      <c r="A408" s="1" t="s">
        <v>1833</v>
      </c>
      <c r="B408" s="2" t="s">
        <v>1835</v>
      </c>
      <c r="C408" s="2" t="s">
        <v>1049</v>
      </c>
    </row>
    <row r="409">
      <c r="A409" s="1" t="s">
        <v>1837</v>
      </c>
      <c r="B409" s="2" t="s">
        <v>1838</v>
      </c>
      <c r="C409" s="2" t="s">
        <v>1049</v>
      </c>
    </row>
    <row r="410">
      <c r="A410" s="1" t="s">
        <v>1841</v>
      </c>
      <c r="B410" s="2" t="s">
        <v>1842</v>
      </c>
      <c r="C410" s="2" t="s">
        <v>296</v>
      </c>
    </row>
    <row r="411">
      <c r="A411" s="1" t="s">
        <v>1845</v>
      </c>
      <c r="B411" s="2" t="s">
        <v>1847</v>
      </c>
      <c r="C411" s="2" t="s">
        <v>296</v>
      </c>
    </row>
    <row r="412">
      <c r="A412" s="1" t="s">
        <v>262</v>
      </c>
      <c r="B412" s="2" t="s">
        <v>1849</v>
      </c>
      <c r="C412" s="2" t="s">
        <v>1851</v>
      </c>
    </row>
    <row r="413">
      <c r="A413" s="1" t="s">
        <v>1852</v>
      </c>
      <c r="B413" s="2" t="s">
        <v>1853</v>
      </c>
      <c r="C413" s="2" t="s">
        <v>1851</v>
      </c>
    </row>
    <row r="414">
      <c r="A414" s="1" t="s">
        <v>1856</v>
      </c>
      <c r="B414" s="2" t="s">
        <v>1857</v>
      </c>
      <c r="C414" s="2" t="s">
        <v>1851</v>
      </c>
    </row>
    <row r="415">
      <c r="A415" s="1" t="s">
        <v>1860</v>
      </c>
      <c r="B415" s="2" t="s">
        <v>1861</v>
      </c>
      <c r="C415" s="2" t="s">
        <v>1851</v>
      </c>
    </row>
    <row r="416">
      <c r="A416" s="1" t="s">
        <v>1863</v>
      </c>
      <c r="B416" s="2" t="s">
        <v>1866</v>
      </c>
      <c r="C416" s="2" t="s">
        <v>1057</v>
      </c>
    </row>
    <row r="417">
      <c r="A417" s="1" t="s">
        <v>1867</v>
      </c>
      <c r="B417" s="2" t="s">
        <v>1869</v>
      </c>
      <c r="C417" s="2" t="s">
        <v>1057</v>
      </c>
    </row>
    <row r="418">
      <c r="A418" s="1" t="s">
        <v>1871</v>
      </c>
      <c r="B418" s="2" t="s">
        <v>1872</v>
      </c>
      <c r="C418" s="2" t="s">
        <v>1057</v>
      </c>
    </row>
    <row r="419">
      <c r="A419" s="1" t="s">
        <v>1876</v>
      </c>
      <c r="B419" s="2" t="s">
        <v>1877</v>
      </c>
      <c r="C419" s="2" t="s">
        <v>1057</v>
      </c>
    </row>
    <row r="420">
      <c r="A420" s="1" t="s">
        <v>1879</v>
      </c>
      <c r="B420" s="2" t="s">
        <v>1882</v>
      </c>
      <c r="C420" s="2" t="s">
        <v>1066</v>
      </c>
    </row>
    <row r="421">
      <c r="A421" s="1" t="s">
        <v>1883</v>
      </c>
      <c r="B421" s="2" t="s">
        <v>1884</v>
      </c>
      <c r="C421" s="2" t="s">
        <v>1066</v>
      </c>
    </row>
    <row r="422">
      <c r="A422" s="1" t="s">
        <v>1885</v>
      </c>
      <c r="B422" s="2" t="s">
        <v>1886</v>
      </c>
      <c r="C422" s="2" t="s">
        <v>1066</v>
      </c>
    </row>
    <row r="423">
      <c r="A423" s="1" t="s">
        <v>1887</v>
      </c>
      <c r="B423" s="2" t="s">
        <v>1889</v>
      </c>
      <c r="C423" s="2" t="s">
        <v>1891</v>
      </c>
    </row>
    <row r="424">
      <c r="A424" s="1" t="s">
        <v>1893</v>
      </c>
      <c r="B424" s="2" t="s">
        <v>1894</v>
      </c>
      <c r="C424" s="2" t="s">
        <v>1891</v>
      </c>
    </row>
    <row r="425">
      <c r="A425" s="1" t="s">
        <v>1897</v>
      </c>
      <c r="B425" s="2" t="s">
        <v>1898</v>
      </c>
      <c r="C425" s="2" t="s">
        <v>1891</v>
      </c>
    </row>
    <row r="426">
      <c r="A426" s="1" t="s">
        <v>1899</v>
      </c>
      <c r="B426" s="2" t="s">
        <v>1900</v>
      </c>
      <c r="C426" s="2" t="s">
        <v>1891</v>
      </c>
    </row>
    <row r="427">
      <c r="A427" s="1" t="s">
        <v>1901</v>
      </c>
      <c r="B427" s="2" t="s">
        <v>1902</v>
      </c>
      <c r="C427" s="2" t="s">
        <v>1493</v>
      </c>
    </row>
    <row r="428">
      <c r="A428" s="1" t="s">
        <v>1906</v>
      </c>
      <c r="B428" s="2" t="s">
        <v>1907</v>
      </c>
      <c r="C428" s="2" t="s">
        <v>1493</v>
      </c>
    </row>
    <row r="429">
      <c r="A429" s="1" t="s">
        <v>1909</v>
      </c>
      <c r="B429" s="2" t="s">
        <v>1911</v>
      </c>
      <c r="C429" s="2" t="s">
        <v>1493</v>
      </c>
    </row>
    <row r="430">
      <c r="A430" s="1" t="s">
        <v>1912</v>
      </c>
      <c r="B430" s="2" t="s">
        <v>1913</v>
      </c>
      <c r="C430" s="2" t="s">
        <v>516</v>
      </c>
    </row>
    <row r="431">
      <c r="A431" s="1" t="s">
        <v>1917</v>
      </c>
      <c r="B431" s="2" t="s">
        <v>1918</v>
      </c>
      <c r="C431" s="2" t="s">
        <v>516</v>
      </c>
    </row>
    <row r="432">
      <c r="A432" s="1" t="s">
        <v>1920</v>
      </c>
      <c r="B432" s="2" t="s">
        <v>1922</v>
      </c>
      <c r="C432" s="2" t="s">
        <v>516</v>
      </c>
    </row>
    <row r="433">
      <c r="A433" s="1" t="s">
        <v>1923</v>
      </c>
      <c r="B433" s="2" t="s">
        <v>1924</v>
      </c>
      <c r="C433" s="2" t="s">
        <v>1656</v>
      </c>
    </row>
    <row r="434">
      <c r="A434" s="1" t="s">
        <v>1927</v>
      </c>
      <c r="B434" s="2" t="s">
        <v>1928</v>
      </c>
      <c r="C434" s="2" t="s">
        <v>1656</v>
      </c>
    </row>
    <row r="435">
      <c r="A435" s="1" t="s">
        <v>1932</v>
      </c>
      <c r="B435" s="2" t="s">
        <v>1933</v>
      </c>
      <c r="C435" s="2" t="s">
        <v>1656</v>
      </c>
    </row>
    <row r="436">
      <c r="A436" s="1" t="s">
        <v>1935</v>
      </c>
      <c r="B436" s="2" t="s">
        <v>1937</v>
      </c>
      <c r="C436" s="2" t="s">
        <v>1656</v>
      </c>
    </row>
    <row r="437">
      <c r="A437" s="1" t="s">
        <v>1938</v>
      </c>
      <c r="B437" s="2" t="s">
        <v>1940</v>
      </c>
      <c r="C437" s="2" t="s">
        <v>684</v>
      </c>
    </row>
    <row r="438">
      <c r="A438" s="1" t="s">
        <v>1942</v>
      </c>
      <c r="B438" s="2" t="s">
        <v>1943</v>
      </c>
      <c r="C438" s="2" t="s">
        <v>684</v>
      </c>
    </row>
    <row r="439">
      <c r="A439" s="1" t="s">
        <v>1945</v>
      </c>
      <c r="B439" s="2" t="s">
        <v>1946</v>
      </c>
      <c r="C439" s="2" t="s">
        <v>693</v>
      </c>
    </row>
    <row r="440">
      <c r="A440" s="1" t="s">
        <v>1948</v>
      </c>
      <c r="B440" s="2" t="s">
        <v>1950</v>
      </c>
      <c r="C440" s="2" t="s">
        <v>282</v>
      </c>
    </row>
    <row r="441">
      <c r="A441" s="1" t="s">
        <v>1951</v>
      </c>
      <c r="B441" s="2" t="s">
        <v>1953</v>
      </c>
      <c r="C441" s="2" t="s">
        <v>661</v>
      </c>
    </row>
    <row r="442">
      <c r="A442" s="1" t="s">
        <v>1955</v>
      </c>
      <c r="B442" s="2" t="s">
        <v>1956</v>
      </c>
      <c r="C442" s="2" t="s">
        <v>661</v>
      </c>
    </row>
    <row r="443">
      <c r="A443" s="1" t="s">
        <v>1960</v>
      </c>
      <c r="B443" s="2" t="s">
        <v>1961</v>
      </c>
      <c r="C443" s="2" t="s">
        <v>675</v>
      </c>
    </row>
    <row r="444">
      <c r="A444" s="1" t="s">
        <v>1963</v>
      </c>
      <c r="B444" s="2" t="s">
        <v>1965</v>
      </c>
      <c r="C444" s="2" t="s">
        <v>1074</v>
      </c>
    </row>
    <row r="445">
      <c r="A445" s="1" t="s">
        <v>1966</v>
      </c>
      <c r="B445" s="2" t="s">
        <v>1968</v>
      </c>
      <c r="C445" s="2" t="s">
        <v>1074</v>
      </c>
    </row>
    <row r="446">
      <c r="A446" s="1" t="s">
        <v>1971</v>
      </c>
      <c r="B446" s="2" t="s">
        <v>1972</v>
      </c>
      <c r="C446" s="2" t="s">
        <v>1074</v>
      </c>
    </row>
    <row r="447">
      <c r="A447" s="1" t="s">
        <v>1975</v>
      </c>
      <c r="B447" s="2" t="s">
        <v>1976</v>
      </c>
      <c r="C447" s="2" t="s">
        <v>1809</v>
      </c>
    </row>
    <row r="448">
      <c r="A448" s="1" t="s">
        <v>1979</v>
      </c>
      <c r="B448" s="2" t="s">
        <v>1980</v>
      </c>
      <c r="C448" s="2" t="s">
        <v>1809</v>
      </c>
    </row>
    <row r="449">
      <c r="A449" s="1" t="s">
        <v>1982</v>
      </c>
      <c r="B449" s="2" t="s">
        <v>1984</v>
      </c>
      <c r="C449" s="2" t="s">
        <v>1809</v>
      </c>
    </row>
    <row r="450">
      <c r="A450" s="1" t="s">
        <v>1986</v>
      </c>
      <c r="B450" s="2" t="s">
        <v>1988</v>
      </c>
      <c r="C450" s="2" t="s">
        <v>1809</v>
      </c>
    </row>
    <row r="451">
      <c r="A451" s="1" t="s">
        <v>1990</v>
      </c>
      <c r="B451" s="2" t="s">
        <v>1991</v>
      </c>
      <c r="C451" s="2" t="s">
        <v>1993</v>
      </c>
    </row>
    <row r="452">
      <c r="A452" s="1" t="s">
        <v>1995</v>
      </c>
      <c r="B452" s="2" t="s">
        <v>1996</v>
      </c>
      <c r="C452" s="2" t="s">
        <v>1993</v>
      </c>
    </row>
    <row r="453">
      <c r="A453" s="1" t="s">
        <v>2002</v>
      </c>
      <c r="B453" s="2" t="s">
        <v>2004</v>
      </c>
      <c r="C453" s="2" t="s">
        <v>1993</v>
      </c>
    </row>
    <row r="454">
      <c r="A454" s="1" t="s">
        <v>2007</v>
      </c>
      <c r="B454" s="2" t="s">
        <v>2008</v>
      </c>
      <c r="C454" s="2" t="s">
        <v>1369</v>
      </c>
    </row>
    <row r="455">
      <c r="A455" s="1" t="s">
        <v>2011</v>
      </c>
      <c r="B455" s="2" t="s">
        <v>2012</v>
      </c>
      <c r="C455" s="2" t="s">
        <v>1369</v>
      </c>
    </row>
    <row r="456">
      <c r="A456" s="1" t="s">
        <v>2015</v>
      </c>
      <c r="B456" s="2" t="s">
        <v>2016</v>
      </c>
      <c r="C456" s="2" t="s">
        <v>1369</v>
      </c>
    </row>
    <row r="457">
      <c r="A457" s="1" t="s">
        <v>1463</v>
      </c>
      <c r="B457" s="2" t="s">
        <v>1465</v>
      </c>
      <c r="C457" s="2" t="s">
        <v>1369</v>
      </c>
    </row>
    <row r="458">
      <c r="A458" s="1" t="s">
        <v>2020</v>
      </c>
      <c r="B458" s="2" t="s">
        <v>2022</v>
      </c>
      <c r="C458" s="2" t="s">
        <v>1084</v>
      </c>
    </row>
    <row r="459">
      <c r="A459" s="1" t="s">
        <v>2024</v>
      </c>
      <c r="B459" s="2" t="s">
        <v>2025</v>
      </c>
      <c r="C459" s="2" t="s">
        <v>1084</v>
      </c>
    </row>
    <row r="460">
      <c r="A460" s="1" t="s">
        <v>2028</v>
      </c>
      <c r="B460" s="2" t="s">
        <v>2029</v>
      </c>
      <c r="C460" s="2" t="s">
        <v>1084</v>
      </c>
    </row>
    <row r="461">
      <c r="A461" s="1" t="s">
        <v>2033</v>
      </c>
      <c r="B461" s="2" t="s">
        <v>2034</v>
      </c>
      <c r="C461" s="2" t="s">
        <v>1084</v>
      </c>
    </row>
    <row r="462">
      <c r="A462" s="1" t="s">
        <v>2035</v>
      </c>
      <c r="B462" s="2" t="s">
        <v>2037</v>
      </c>
      <c r="C462" s="2" t="s">
        <v>1084</v>
      </c>
    </row>
    <row r="463">
      <c r="A463" s="1" t="s">
        <v>2041</v>
      </c>
      <c r="B463" s="2" t="s">
        <v>2042</v>
      </c>
      <c r="C463" s="2" t="s">
        <v>1084</v>
      </c>
    </row>
    <row r="464">
      <c r="A464" s="1" t="s">
        <v>1294</v>
      </c>
      <c r="B464" s="2" t="s">
        <v>1295</v>
      </c>
      <c r="C464" s="2" t="s">
        <v>1084</v>
      </c>
    </row>
    <row r="465">
      <c r="A465" s="1" t="s">
        <v>2046</v>
      </c>
      <c r="B465" s="2" t="s">
        <v>2048</v>
      </c>
      <c r="C465" s="2" t="s">
        <v>869</v>
      </c>
    </row>
    <row r="466">
      <c r="A466" s="1" t="s">
        <v>2049</v>
      </c>
      <c r="B466" s="2" t="s">
        <v>2051</v>
      </c>
      <c r="C466" s="2" t="s">
        <v>869</v>
      </c>
    </row>
    <row r="467">
      <c r="A467" s="1" t="s">
        <v>2053</v>
      </c>
      <c r="B467" s="2" t="s">
        <v>2055</v>
      </c>
      <c r="C467" s="2" t="s">
        <v>869</v>
      </c>
    </row>
    <row r="468">
      <c r="A468" s="1" t="s">
        <v>974</v>
      </c>
      <c r="B468" s="2" t="s">
        <v>976</v>
      </c>
      <c r="C468" s="2" t="s">
        <v>869</v>
      </c>
    </row>
    <row r="469">
      <c r="A469" s="1" t="s">
        <v>2060</v>
      </c>
      <c r="B469" s="2" t="s">
        <v>2061</v>
      </c>
      <c r="C469" s="2" t="s">
        <v>1098</v>
      </c>
    </row>
    <row r="470">
      <c r="A470" s="1" t="s">
        <v>2065</v>
      </c>
      <c r="B470" s="2" t="s">
        <v>2066</v>
      </c>
      <c r="C470" s="2" t="s">
        <v>1098</v>
      </c>
    </row>
    <row r="471">
      <c r="A471" s="1" t="s">
        <v>2068</v>
      </c>
      <c r="B471" s="2" t="s">
        <v>2070</v>
      </c>
      <c r="C471" s="2" t="s">
        <v>1098</v>
      </c>
    </row>
    <row r="472">
      <c r="A472" s="1" t="s">
        <v>2071</v>
      </c>
      <c r="B472" s="2" t="s">
        <v>2073</v>
      </c>
      <c r="C472" s="2" t="s">
        <v>1098</v>
      </c>
    </row>
    <row r="473">
      <c r="A473" s="1" t="s">
        <v>2076</v>
      </c>
      <c r="B473" s="2" t="s">
        <v>2077</v>
      </c>
      <c r="C473" s="2" t="s">
        <v>1098</v>
      </c>
    </row>
    <row r="474">
      <c r="A474" s="1" t="s">
        <v>2080</v>
      </c>
      <c r="B474" s="2" t="s">
        <v>2081</v>
      </c>
      <c r="C474" s="2" t="s">
        <v>1098</v>
      </c>
    </row>
    <row r="475">
      <c r="A475" s="1" t="s">
        <v>2083</v>
      </c>
      <c r="B475" s="2" t="s">
        <v>2085</v>
      </c>
      <c r="C475" s="2" t="s">
        <v>2086</v>
      </c>
    </row>
    <row r="476">
      <c r="A476" s="1" t="s">
        <v>2088</v>
      </c>
      <c r="B476" s="2" t="s">
        <v>2090</v>
      </c>
      <c r="C476" s="2" t="s">
        <v>2086</v>
      </c>
    </row>
    <row r="477">
      <c r="A477" s="1" t="s">
        <v>2092</v>
      </c>
      <c r="B477" s="2" t="s">
        <v>2093</v>
      </c>
      <c r="C477" s="2" t="s">
        <v>2086</v>
      </c>
    </row>
    <row r="478">
      <c r="A478" s="1" t="s">
        <v>2096</v>
      </c>
      <c r="B478" s="2" t="s">
        <v>2097</v>
      </c>
      <c r="C478" s="2" t="s">
        <v>2086</v>
      </c>
    </row>
    <row r="479">
      <c r="A479" s="1" t="s">
        <v>2101</v>
      </c>
      <c r="B479" s="2" t="s">
        <v>2102</v>
      </c>
      <c r="C479" s="2" t="s">
        <v>1776</v>
      </c>
    </row>
    <row r="480">
      <c r="A480" s="1" t="s">
        <v>2104</v>
      </c>
      <c r="B480" s="2" t="s">
        <v>2106</v>
      </c>
      <c r="C480" s="2" t="s">
        <v>1776</v>
      </c>
    </row>
    <row r="481">
      <c r="A481" s="1" t="s">
        <v>2108</v>
      </c>
      <c r="B481" s="2" t="s">
        <v>2111</v>
      </c>
      <c r="C481" s="2" t="s">
        <v>1107</v>
      </c>
    </row>
    <row r="482">
      <c r="A482" s="1" t="s">
        <v>2113</v>
      </c>
      <c r="B482" s="2" t="s">
        <v>2115</v>
      </c>
      <c r="C482" s="2" t="s">
        <v>1107</v>
      </c>
    </row>
    <row r="483">
      <c r="A483" s="1" t="s">
        <v>2117</v>
      </c>
      <c r="B483" s="2" t="s">
        <v>2118</v>
      </c>
      <c r="C483" s="2" t="s">
        <v>1107</v>
      </c>
    </row>
    <row r="484">
      <c r="A484" s="1" t="s">
        <v>2122</v>
      </c>
      <c r="B484" s="2" t="s">
        <v>2123</v>
      </c>
      <c r="C484" s="2" t="s">
        <v>1107</v>
      </c>
    </row>
    <row r="485">
      <c r="A485" s="1" t="s">
        <v>2125</v>
      </c>
      <c r="B485" s="2" t="s">
        <v>2127</v>
      </c>
      <c r="C485" s="2" t="s">
        <v>1116</v>
      </c>
    </row>
    <row r="486">
      <c r="A486" s="1" t="s">
        <v>2128</v>
      </c>
      <c r="B486" s="2" t="s">
        <v>2131</v>
      </c>
      <c r="C486" s="2" t="s">
        <v>1116</v>
      </c>
    </row>
    <row r="487">
      <c r="A487" s="1" t="s">
        <v>2133</v>
      </c>
      <c r="B487" s="2" t="s">
        <v>2134</v>
      </c>
      <c r="C487" s="2" t="s">
        <v>1116</v>
      </c>
    </row>
    <row r="488">
      <c r="A488" s="1" t="s">
        <v>2135</v>
      </c>
      <c r="B488" s="2" t="s">
        <v>2137</v>
      </c>
      <c r="C488" s="2" t="s">
        <v>2139</v>
      </c>
    </row>
    <row r="489">
      <c r="A489" s="1" t="s">
        <v>2140</v>
      </c>
      <c r="B489" s="2" t="s">
        <v>2141</v>
      </c>
      <c r="C489" s="2" t="s">
        <v>2139</v>
      </c>
    </row>
    <row r="490">
      <c r="A490" s="1" t="s">
        <v>2144</v>
      </c>
      <c r="B490" s="2" t="s">
        <v>2145</v>
      </c>
      <c r="C490" s="2" t="s">
        <v>2139</v>
      </c>
    </row>
    <row r="491">
      <c r="A491" s="1" t="s">
        <v>2147</v>
      </c>
      <c r="B491" s="2" t="s">
        <v>2150</v>
      </c>
      <c r="C491" s="2" t="s">
        <v>67</v>
      </c>
    </row>
    <row r="492">
      <c r="A492" s="1" t="s">
        <v>2151</v>
      </c>
      <c r="B492" s="2" t="s">
        <v>2153</v>
      </c>
      <c r="C492" s="2" t="s">
        <v>67</v>
      </c>
    </row>
    <row r="493">
      <c r="A493" s="1" t="s">
        <v>2155</v>
      </c>
      <c r="B493" s="2" t="s">
        <v>2156</v>
      </c>
      <c r="C493" s="2" t="s">
        <v>67</v>
      </c>
    </row>
    <row r="494">
      <c r="A494" s="1" t="s">
        <v>2157</v>
      </c>
      <c r="B494" s="2" t="s">
        <v>2158</v>
      </c>
      <c r="C494" s="2" t="s">
        <v>1256</v>
      </c>
    </row>
    <row r="495">
      <c r="A495" s="1" t="s">
        <v>2159</v>
      </c>
      <c r="B495" s="2" t="s">
        <v>2160</v>
      </c>
      <c r="C495" s="2" t="s">
        <v>1256</v>
      </c>
    </row>
    <row r="496">
      <c r="A496" s="1" t="s">
        <v>2162</v>
      </c>
      <c r="B496" s="2" t="s">
        <v>2164</v>
      </c>
      <c r="C496" s="2" t="s">
        <v>1256</v>
      </c>
    </row>
    <row r="497">
      <c r="A497" s="1" t="s">
        <v>2165</v>
      </c>
      <c r="B497" s="2" t="s">
        <v>2167</v>
      </c>
      <c r="C497" s="2" t="s">
        <v>1256</v>
      </c>
    </row>
    <row r="498">
      <c r="A498" s="1" t="s">
        <v>2169</v>
      </c>
      <c r="B498" s="2" t="s">
        <v>2170</v>
      </c>
      <c r="C498" s="2" t="s">
        <v>1256</v>
      </c>
    </row>
    <row r="499">
      <c r="A499" s="1" t="s">
        <v>2173</v>
      </c>
      <c r="B499" s="2" t="s">
        <v>2174</v>
      </c>
      <c r="C499" s="2" t="s">
        <v>378</v>
      </c>
    </row>
    <row r="500">
      <c r="A500" s="1" t="s">
        <v>2175</v>
      </c>
      <c r="B500" s="2" t="s">
        <v>2176</v>
      </c>
      <c r="C500" s="2" t="s">
        <v>378</v>
      </c>
    </row>
    <row r="501">
      <c r="A501" s="1" t="s">
        <v>2177</v>
      </c>
      <c r="B501" s="2" t="s">
        <v>2179</v>
      </c>
      <c r="C501" s="2" t="s">
        <v>499</v>
      </c>
    </row>
    <row r="502">
      <c r="A502" s="1" t="s">
        <v>2181</v>
      </c>
      <c r="B502" s="2" t="s">
        <v>2182</v>
      </c>
      <c r="C502" s="2" t="s">
        <v>499</v>
      </c>
    </row>
    <row r="503">
      <c r="A503" s="1" t="s">
        <v>4</v>
      </c>
      <c r="B503" s="2" t="s">
        <v>5</v>
      </c>
      <c r="C503" s="2" t="s">
        <v>7</v>
      </c>
    </row>
    <row r="504">
      <c r="A504" s="1" t="s">
        <v>2187</v>
      </c>
      <c r="B504" s="2" t="s">
        <v>2188</v>
      </c>
      <c r="C504" s="2" t="s">
        <v>7</v>
      </c>
    </row>
    <row r="505">
      <c r="A505" s="1" t="s">
        <v>2189</v>
      </c>
      <c r="B505" s="2" t="s">
        <v>2190</v>
      </c>
      <c r="C505" s="2" t="s">
        <v>7</v>
      </c>
    </row>
    <row r="506">
      <c r="A506" s="1" t="s">
        <v>2191</v>
      </c>
      <c r="B506" s="2" t="s">
        <v>2192</v>
      </c>
      <c r="C506" s="2" t="s">
        <v>7</v>
      </c>
    </row>
    <row r="507">
      <c r="A507" s="1" t="s">
        <v>2195</v>
      </c>
      <c r="B507" s="2" t="s">
        <v>2196</v>
      </c>
      <c r="C507" s="2" t="s">
        <v>7</v>
      </c>
    </row>
    <row r="508">
      <c r="A508" s="1" t="s">
        <v>2199</v>
      </c>
      <c r="B508" s="2" t="s">
        <v>2200</v>
      </c>
      <c r="C508" s="2" t="s">
        <v>7</v>
      </c>
    </row>
    <row r="509">
      <c r="A509" s="1" t="s">
        <v>2203</v>
      </c>
      <c r="B509" s="2" t="s">
        <v>2204</v>
      </c>
      <c r="C509" s="2" t="s">
        <v>7</v>
      </c>
    </row>
    <row r="510">
      <c r="A510" s="1" t="s">
        <v>2205</v>
      </c>
      <c r="B510" s="2" t="s">
        <v>2206</v>
      </c>
      <c r="C510" s="2" t="s">
        <v>1181</v>
      </c>
    </row>
    <row r="511">
      <c r="A511" s="1" t="s">
        <v>2207</v>
      </c>
      <c r="B511" s="2" t="s">
        <v>2209</v>
      </c>
      <c r="C511" s="2" t="s">
        <v>1181</v>
      </c>
    </row>
    <row r="512">
      <c r="A512" s="1" t="s">
        <v>2211</v>
      </c>
      <c r="B512" s="2" t="s">
        <v>2212</v>
      </c>
      <c r="C512" s="2" t="s">
        <v>1181</v>
      </c>
    </row>
    <row r="513">
      <c r="A513" s="1" t="s">
        <v>2213</v>
      </c>
      <c r="B513" s="2" t="s">
        <v>2214</v>
      </c>
      <c r="C513" s="2" t="s">
        <v>1181</v>
      </c>
    </row>
    <row r="514">
      <c r="A514" s="1" t="s">
        <v>2171</v>
      </c>
      <c r="B514" s="2" t="s">
        <v>2172</v>
      </c>
      <c r="C514" s="2" t="s">
        <v>1181</v>
      </c>
    </row>
    <row r="515">
      <c r="A515" s="1" t="s">
        <v>2218</v>
      </c>
      <c r="B515" s="2" t="s">
        <v>2220</v>
      </c>
      <c r="C515" s="2" t="s">
        <v>2039</v>
      </c>
    </row>
    <row r="516">
      <c r="A516" s="1" t="s">
        <v>2221</v>
      </c>
      <c r="B516" s="2" t="s">
        <v>2223</v>
      </c>
      <c r="C516" s="2" t="s">
        <v>2039</v>
      </c>
    </row>
    <row r="517">
      <c r="A517" s="1" t="s">
        <v>2225</v>
      </c>
      <c r="B517" s="2" t="s">
        <v>2226</v>
      </c>
      <c r="C517" s="2" t="s">
        <v>2039</v>
      </c>
    </row>
    <row r="518">
      <c r="A518" s="1" t="s">
        <v>2228</v>
      </c>
      <c r="B518" s="2" t="s">
        <v>2229</v>
      </c>
      <c r="C518" s="2" t="s">
        <v>2039</v>
      </c>
    </row>
    <row r="519">
      <c r="A519" s="1" t="s">
        <v>2231</v>
      </c>
      <c r="B519" s="2" t="s">
        <v>2233</v>
      </c>
      <c r="C519" s="2" t="s">
        <v>2107</v>
      </c>
    </row>
    <row r="520">
      <c r="A520" s="1" t="s">
        <v>2234</v>
      </c>
      <c r="B520" s="2" t="s">
        <v>2236</v>
      </c>
      <c r="C520" s="2" t="s">
        <v>2107</v>
      </c>
    </row>
    <row r="521">
      <c r="A521" s="1" t="s">
        <v>2238</v>
      </c>
      <c r="B521" s="2" t="s">
        <v>2239</v>
      </c>
      <c r="C521" s="2" t="s">
        <v>2107</v>
      </c>
    </row>
    <row r="522">
      <c r="A522" s="1" t="s">
        <v>2240</v>
      </c>
      <c r="B522" s="2" t="s">
        <v>2241</v>
      </c>
      <c r="C522" s="2" t="s">
        <v>2107</v>
      </c>
    </row>
    <row r="523">
      <c r="A523" s="1" t="s">
        <v>2119</v>
      </c>
      <c r="B523" s="2" t="s">
        <v>2121</v>
      </c>
      <c r="C523" s="2" t="s">
        <v>2107</v>
      </c>
    </row>
    <row r="524">
      <c r="A524" s="1" t="s">
        <v>2244</v>
      </c>
      <c r="B524" s="2" t="s">
        <v>2245</v>
      </c>
      <c r="C524" s="2" t="s">
        <v>1190</v>
      </c>
    </row>
    <row r="525">
      <c r="A525" s="1" t="s">
        <v>2246</v>
      </c>
      <c r="B525" s="2" t="s">
        <v>2247</v>
      </c>
      <c r="C525" s="2" t="s">
        <v>1190</v>
      </c>
    </row>
    <row r="526">
      <c r="A526" s="1" t="s">
        <v>2250</v>
      </c>
      <c r="B526" s="2" t="s">
        <v>2251</v>
      </c>
      <c r="C526" s="2" t="s">
        <v>1190</v>
      </c>
    </row>
    <row r="527">
      <c r="A527" s="1" t="s">
        <v>2252</v>
      </c>
      <c r="B527" s="2" t="s">
        <v>2253</v>
      </c>
      <c r="C527" s="2" t="s">
        <v>1190</v>
      </c>
    </row>
    <row r="528">
      <c r="A528" s="1" t="s">
        <v>2142</v>
      </c>
      <c r="B528" s="2" t="s">
        <v>2143</v>
      </c>
      <c r="C528" s="2" t="s">
        <v>1190</v>
      </c>
    </row>
    <row r="529">
      <c r="A529" s="1" t="s">
        <v>2254</v>
      </c>
      <c r="B529" s="2" t="s">
        <v>2255</v>
      </c>
      <c r="C529" s="2" t="s">
        <v>2006</v>
      </c>
    </row>
    <row r="530">
      <c r="A530" s="1" t="s">
        <v>2258</v>
      </c>
      <c r="B530" s="2" t="s">
        <v>2259</v>
      </c>
      <c r="C530" s="2" t="s">
        <v>2006</v>
      </c>
    </row>
    <row r="531">
      <c r="A531" s="1" t="s">
        <v>2026</v>
      </c>
      <c r="B531" s="2" t="s">
        <v>2027</v>
      </c>
      <c r="C531" s="2" t="s">
        <v>2006</v>
      </c>
    </row>
    <row r="532">
      <c r="A532" s="1" t="s">
        <v>2261</v>
      </c>
      <c r="B532" s="2" t="s">
        <v>2263</v>
      </c>
      <c r="C532" s="2" t="s">
        <v>1199</v>
      </c>
    </row>
    <row r="533">
      <c r="A533" s="1" t="s">
        <v>2264</v>
      </c>
      <c r="B533" s="2" t="s">
        <v>2266</v>
      </c>
      <c r="C533" s="2" t="s">
        <v>1199</v>
      </c>
    </row>
    <row r="534">
      <c r="A534" s="1" t="s">
        <v>2268</v>
      </c>
      <c r="B534" s="2" t="s">
        <v>2269</v>
      </c>
      <c r="C534" s="2" t="s">
        <v>1199</v>
      </c>
    </row>
    <row r="535">
      <c r="A535" s="1" t="s">
        <v>2272</v>
      </c>
      <c r="B535" s="2" t="s">
        <v>2273</v>
      </c>
      <c r="C535" s="2" t="s">
        <v>1640</v>
      </c>
    </row>
    <row r="536">
      <c r="A536" s="1" t="s">
        <v>2275</v>
      </c>
      <c r="B536" s="2" t="s">
        <v>2277</v>
      </c>
      <c r="C536" s="2" t="s">
        <v>1640</v>
      </c>
    </row>
    <row r="537">
      <c r="A537" s="1" t="s">
        <v>2278</v>
      </c>
      <c r="B537" s="2" t="s">
        <v>2280</v>
      </c>
      <c r="C537" s="2" t="s">
        <v>1640</v>
      </c>
    </row>
    <row r="538">
      <c r="A538" s="1" t="s">
        <v>2282</v>
      </c>
      <c r="B538" s="2" t="s">
        <v>2283</v>
      </c>
      <c r="C538" s="2" t="s">
        <v>1640</v>
      </c>
    </row>
    <row r="539">
      <c r="A539" s="1" t="s">
        <v>2287</v>
      </c>
      <c r="B539" s="2" t="s">
        <v>2288</v>
      </c>
      <c r="C539" s="2" t="s">
        <v>1640</v>
      </c>
    </row>
    <row r="540">
      <c r="A540" s="1" t="s">
        <v>2290</v>
      </c>
      <c r="B540" s="2" t="s">
        <v>2292</v>
      </c>
      <c r="C540" s="2" t="s">
        <v>1875</v>
      </c>
    </row>
    <row r="541">
      <c r="A541" s="1" t="s">
        <v>2293</v>
      </c>
      <c r="B541" s="2" t="s">
        <v>2295</v>
      </c>
      <c r="C541" s="2" t="s">
        <v>1875</v>
      </c>
    </row>
    <row r="542">
      <c r="A542" s="1" t="s">
        <v>2297</v>
      </c>
      <c r="B542" s="2" t="s">
        <v>2298</v>
      </c>
      <c r="C542" s="2" t="s">
        <v>1875</v>
      </c>
    </row>
    <row r="543">
      <c r="A543" s="1" t="s">
        <v>2301</v>
      </c>
      <c r="B543" s="2" t="s">
        <v>2302</v>
      </c>
      <c r="C543" s="2" t="s">
        <v>1875</v>
      </c>
    </row>
    <row r="544">
      <c r="A544" s="1" t="s">
        <v>2303</v>
      </c>
      <c r="B544" s="2" t="s">
        <v>2305</v>
      </c>
      <c r="C544" s="2" t="s">
        <v>1208</v>
      </c>
    </row>
    <row r="545">
      <c r="A545" s="1" t="s">
        <v>2307</v>
      </c>
      <c r="B545" s="2" t="s">
        <v>2309</v>
      </c>
      <c r="C545" s="2" t="s">
        <v>1208</v>
      </c>
    </row>
    <row r="546">
      <c r="A546" s="1" t="s">
        <v>2314</v>
      </c>
      <c r="B546" s="2" t="s">
        <v>2316</v>
      </c>
      <c r="C546" s="2" t="s">
        <v>1208</v>
      </c>
    </row>
    <row r="547">
      <c r="A547" s="1" t="s">
        <v>2317</v>
      </c>
      <c r="B547" s="2" t="s">
        <v>2319</v>
      </c>
      <c r="C547" s="2" t="s">
        <v>1208</v>
      </c>
    </row>
    <row r="548">
      <c r="A548" s="1" t="s">
        <v>1930</v>
      </c>
      <c r="B548" s="2" t="s">
        <v>1931</v>
      </c>
      <c r="C548" s="2" t="s">
        <v>1208</v>
      </c>
    </row>
    <row r="549">
      <c r="A549" s="1" t="s">
        <v>1947</v>
      </c>
      <c r="B549" s="2" t="s">
        <v>1949</v>
      </c>
      <c r="C549" s="2" t="s">
        <v>1208</v>
      </c>
    </row>
    <row r="550">
      <c r="A550" s="1" t="s">
        <v>2013</v>
      </c>
      <c r="B550" s="2" t="s">
        <v>2014</v>
      </c>
      <c r="C550" s="2" t="s">
        <v>1208</v>
      </c>
    </row>
    <row r="551">
      <c r="A551" s="1" t="s">
        <v>2327</v>
      </c>
      <c r="B551" s="2" t="s">
        <v>2329</v>
      </c>
      <c r="C551" s="2" t="s">
        <v>1217</v>
      </c>
    </row>
    <row r="552">
      <c r="A552" s="1" t="s">
        <v>2330</v>
      </c>
      <c r="B552" s="2" t="s">
        <v>2332</v>
      </c>
      <c r="C552" s="2" t="s">
        <v>1217</v>
      </c>
    </row>
    <row r="553">
      <c r="A553" s="1" t="s">
        <v>2335</v>
      </c>
      <c r="B553" s="2" t="s">
        <v>2336</v>
      </c>
      <c r="C553" s="2" t="s">
        <v>1217</v>
      </c>
    </row>
    <row r="554">
      <c r="A554" s="1" t="s">
        <v>2339</v>
      </c>
      <c r="B554" s="2" t="s">
        <v>2340</v>
      </c>
      <c r="C554" s="2" t="s">
        <v>1217</v>
      </c>
    </row>
    <row r="555">
      <c r="A555" s="1" t="s">
        <v>2343</v>
      </c>
      <c r="B555" s="2" t="s">
        <v>2344</v>
      </c>
      <c r="C555" s="2" t="s">
        <v>2345</v>
      </c>
    </row>
    <row r="556">
      <c r="A556" s="1" t="s">
        <v>2347</v>
      </c>
      <c r="B556" s="2" t="s">
        <v>2349</v>
      </c>
      <c r="C556" s="2" t="s">
        <v>2345</v>
      </c>
    </row>
    <row r="557">
      <c r="A557" s="1" t="s">
        <v>2350</v>
      </c>
      <c r="B557" s="2" t="s">
        <v>2352</v>
      </c>
      <c r="C557" s="2" t="s">
        <v>2345</v>
      </c>
    </row>
    <row r="558">
      <c r="A558" s="1" t="s">
        <v>2353</v>
      </c>
      <c r="B558" s="2" t="s">
        <v>2354</v>
      </c>
      <c r="C558" s="2" t="s">
        <v>1233</v>
      </c>
    </row>
    <row r="559">
      <c r="A559" s="1" t="s">
        <v>2356</v>
      </c>
      <c r="B559" s="2" t="s">
        <v>2357</v>
      </c>
      <c r="C559" s="2" t="s">
        <v>1233</v>
      </c>
    </row>
    <row r="560">
      <c r="A560" s="1" t="s">
        <v>2360</v>
      </c>
      <c r="B560" s="2" t="s">
        <v>2361</v>
      </c>
      <c r="C560" s="2" t="s">
        <v>1233</v>
      </c>
    </row>
    <row r="561">
      <c r="A561" s="1" t="s">
        <v>2362</v>
      </c>
      <c r="B561" s="2" t="s">
        <v>2364</v>
      </c>
      <c r="C561" s="2" t="s">
        <v>1233</v>
      </c>
    </row>
    <row r="562">
      <c r="A562" s="1" t="s">
        <v>2366</v>
      </c>
      <c r="B562" s="2" t="s">
        <v>2367</v>
      </c>
      <c r="C562" s="2" t="s">
        <v>1233</v>
      </c>
    </row>
    <row r="563">
      <c r="A563" s="1" t="s">
        <v>2443</v>
      </c>
      <c r="B563" s="2" t="s">
        <v>2444</v>
      </c>
      <c r="C563" s="2" t="s">
        <v>1233</v>
      </c>
    </row>
    <row r="564">
      <c r="A564" s="1" t="s">
        <v>2447</v>
      </c>
      <c r="B564" s="2" t="s">
        <v>2448</v>
      </c>
      <c r="C564" s="2" t="s">
        <v>1248</v>
      </c>
    </row>
    <row r="565">
      <c r="A565" s="1" t="s">
        <v>2451</v>
      </c>
      <c r="B565" s="2" t="s">
        <v>2453</v>
      </c>
      <c r="C565" s="2" t="s">
        <v>1248</v>
      </c>
    </row>
    <row r="566">
      <c r="A566" s="1" t="s">
        <v>2454</v>
      </c>
      <c r="B566" s="2" t="s">
        <v>2455</v>
      </c>
      <c r="C566" s="2" t="s">
        <v>1248</v>
      </c>
    </row>
    <row r="567">
      <c r="A567" s="1" t="s">
        <v>2458</v>
      </c>
      <c r="B567" s="2" t="s">
        <v>2459</v>
      </c>
      <c r="C567" s="2" t="s">
        <v>1248</v>
      </c>
    </row>
    <row r="568">
      <c r="A568" s="1" t="s">
        <v>2461</v>
      </c>
      <c r="B568" s="2" t="s">
        <v>2463</v>
      </c>
      <c r="C568" s="2" t="s">
        <v>1310</v>
      </c>
    </row>
    <row r="569">
      <c r="A569" s="1" t="s">
        <v>2465</v>
      </c>
      <c r="B569" s="2" t="s">
        <v>2466</v>
      </c>
      <c r="C569" s="2" t="s">
        <v>1310</v>
      </c>
    </row>
    <row r="570">
      <c r="A570" s="1" t="s">
        <v>2468</v>
      </c>
      <c r="B570" s="2" t="s">
        <v>2469</v>
      </c>
      <c r="C570" s="2" t="s">
        <v>1310</v>
      </c>
    </row>
    <row r="571">
      <c r="A571" s="1" t="s">
        <v>2472</v>
      </c>
      <c r="B571" s="2" t="s">
        <v>2473</v>
      </c>
      <c r="C571" s="2" t="s">
        <v>1310</v>
      </c>
    </row>
    <row r="572">
      <c r="A572" s="1" t="s">
        <v>2475</v>
      </c>
      <c r="B572" s="2" t="s">
        <v>2477</v>
      </c>
      <c r="C572" s="2" t="s">
        <v>1348</v>
      </c>
    </row>
    <row r="573">
      <c r="A573" s="1" t="s">
        <v>2479</v>
      </c>
      <c r="B573" s="2" t="s">
        <v>2480</v>
      </c>
      <c r="C573" s="2" t="s">
        <v>1348</v>
      </c>
    </row>
    <row r="574">
      <c r="A574" s="1" t="s">
        <v>2481</v>
      </c>
      <c r="B574" s="2" t="s">
        <v>2482</v>
      </c>
      <c r="C574" s="2" t="s">
        <v>1348</v>
      </c>
    </row>
    <row r="575">
      <c r="A575" s="1" t="s">
        <v>2485</v>
      </c>
      <c r="B575" s="2" t="s">
        <v>2486</v>
      </c>
      <c r="C575" s="2" t="s">
        <v>1348</v>
      </c>
    </row>
    <row r="576">
      <c r="A576" s="1" t="s">
        <v>55</v>
      </c>
      <c r="B576" s="2" t="s">
        <v>57</v>
      </c>
      <c r="C576" s="2" t="s">
        <v>58</v>
      </c>
    </row>
    <row r="577">
      <c r="A577" s="1" t="s">
        <v>262</v>
      </c>
      <c r="B577" s="2" t="s">
        <v>2488</v>
      </c>
      <c r="C577" s="2" t="s">
        <v>58</v>
      </c>
    </row>
    <row r="578">
      <c r="A578" s="1" t="s">
        <v>177</v>
      </c>
      <c r="B578" s="2" t="s">
        <v>2489</v>
      </c>
      <c r="C578" s="2" t="s">
        <v>58</v>
      </c>
    </row>
    <row r="579">
      <c r="A579" s="1" t="s">
        <v>2492</v>
      </c>
      <c r="B579" s="2" t="s">
        <v>2493</v>
      </c>
      <c r="C579" s="2" t="s">
        <v>58</v>
      </c>
    </row>
    <row r="580">
      <c r="A580" s="1" t="s">
        <v>2494</v>
      </c>
      <c r="B580" s="2" t="s">
        <v>2496</v>
      </c>
      <c r="C580" s="2" t="s">
        <v>58</v>
      </c>
    </row>
    <row r="581">
      <c r="A581" s="1" t="s">
        <v>1777</v>
      </c>
      <c r="B581" s="2" t="s">
        <v>2499</v>
      </c>
      <c r="C581" s="2" t="s">
        <v>58</v>
      </c>
    </row>
    <row r="582">
      <c r="A582" s="1" t="s">
        <v>2502</v>
      </c>
      <c r="B582" s="2" t="s">
        <v>2503</v>
      </c>
      <c r="C582" s="2" t="s">
        <v>58</v>
      </c>
    </row>
    <row r="583">
      <c r="A583" s="1" t="s">
        <v>1868</v>
      </c>
      <c r="B583" s="2" t="s">
        <v>1870</v>
      </c>
      <c r="C583" s="2" t="s">
        <v>58</v>
      </c>
    </row>
    <row r="584">
      <c r="A584" s="1" t="s">
        <v>2506</v>
      </c>
      <c r="B584" s="2" t="s">
        <v>2509</v>
      </c>
      <c r="C584" s="2" t="s">
        <v>1384</v>
      </c>
    </row>
    <row r="585">
      <c r="A585" s="1" t="s">
        <v>2511</v>
      </c>
      <c r="B585" s="2" t="s">
        <v>2512</v>
      </c>
      <c r="C585" s="2" t="s">
        <v>1384</v>
      </c>
    </row>
    <row r="586">
      <c r="A586" s="1" t="s">
        <v>901</v>
      </c>
      <c r="B586" s="2" t="s">
        <v>2515</v>
      </c>
      <c r="C586" s="2" t="s">
        <v>1384</v>
      </c>
    </row>
    <row r="587">
      <c r="A587" s="1" t="s">
        <v>2517</v>
      </c>
      <c r="B587" s="2" t="s">
        <v>2518</v>
      </c>
      <c r="C587" s="2" t="s">
        <v>1384</v>
      </c>
    </row>
    <row r="588">
      <c r="A588" s="1" t="s">
        <v>2521</v>
      </c>
      <c r="B588" s="2" t="s">
        <v>2522</v>
      </c>
      <c r="C588" s="2" t="s">
        <v>1384</v>
      </c>
    </row>
    <row r="589">
      <c r="A589" s="1" t="s">
        <v>2525</v>
      </c>
      <c r="B589" s="2" t="s">
        <v>2526</v>
      </c>
      <c r="C589" s="2" t="s">
        <v>1384</v>
      </c>
    </row>
    <row r="590">
      <c r="A590" s="1" t="s">
        <v>2527</v>
      </c>
      <c r="B590" s="2" t="s">
        <v>2529</v>
      </c>
      <c r="C590" s="2" t="s">
        <v>628</v>
      </c>
    </row>
    <row r="591">
      <c r="A591" s="1" t="s">
        <v>2531</v>
      </c>
      <c r="B591" s="2" t="s">
        <v>2532</v>
      </c>
      <c r="C591" s="2" t="s">
        <v>628</v>
      </c>
    </row>
    <row r="592">
      <c r="A592" s="18" t="s">
        <v>626</v>
      </c>
      <c r="B592" s="2" t="s">
        <v>627</v>
      </c>
      <c r="C592" s="2" t="s">
        <v>628</v>
      </c>
    </row>
    <row r="593">
      <c r="A593" s="1" t="s">
        <v>2536</v>
      </c>
      <c r="B593" s="2" t="s">
        <v>2537</v>
      </c>
      <c r="C593" s="2" t="s">
        <v>310</v>
      </c>
    </row>
    <row r="594">
      <c r="A594" s="1" t="s">
        <v>2538</v>
      </c>
      <c r="B594" s="2" t="s">
        <v>2539</v>
      </c>
      <c r="C594" s="2" t="s">
        <v>310</v>
      </c>
    </row>
    <row r="595">
      <c r="A595" s="1" t="s">
        <v>2540</v>
      </c>
      <c r="B595" s="2" t="s">
        <v>2543</v>
      </c>
      <c r="C595" s="2" t="s">
        <v>435</v>
      </c>
    </row>
    <row r="596">
      <c r="A596" s="1" t="s">
        <v>2544</v>
      </c>
      <c r="B596" s="2" t="s">
        <v>2545</v>
      </c>
      <c r="C596" s="2" t="s">
        <v>338</v>
      </c>
    </row>
    <row r="597">
      <c r="A597" s="1" t="s">
        <v>2108</v>
      </c>
      <c r="B597" s="2" t="s">
        <v>2548</v>
      </c>
      <c r="C597" s="2" t="s">
        <v>338</v>
      </c>
    </row>
    <row r="598">
      <c r="A598" s="1" t="s">
        <v>2551</v>
      </c>
      <c r="B598" s="2" t="s">
        <v>2552</v>
      </c>
      <c r="C598" s="2" t="s">
        <v>2553</v>
      </c>
    </row>
    <row r="599">
      <c r="A599" s="1" t="s">
        <v>2556</v>
      </c>
      <c r="B599" s="2" t="s">
        <v>2557</v>
      </c>
      <c r="C599" s="2" t="s">
        <v>2553</v>
      </c>
    </row>
    <row r="600">
      <c r="A600" s="1" t="s">
        <v>2558</v>
      </c>
      <c r="B600" s="2" t="s">
        <v>2560</v>
      </c>
      <c r="C600" s="2" t="s">
        <v>1392</v>
      </c>
    </row>
    <row r="601">
      <c r="A601" s="1" t="s">
        <v>2562</v>
      </c>
      <c r="B601" s="2" t="s">
        <v>2563</v>
      </c>
      <c r="C601" s="2" t="s">
        <v>1392</v>
      </c>
    </row>
    <row r="602">
      <c r="A602" s="1" t="s">
        <v>2566</v>
      </c>
      <c r="B602" s="2" t="s">
        <v>2567</v>
      </c>
      <c r="C602" s="2" t="s">
        <v>1392</v>
      </c>
    </row>
    <row r="603">
      <c r="A603" s="1" t="s">
        <v>2570</v>
      </c>
      <c r="B603" s="2" t="s">
        <v>2572</v>
      </c>
      <c r="C603" s="2" t="s">
        <v>1392</v>
      </c>
    </row>
    <row r="604">
      <c r="A604" s="1" t="s">
        <v>422</v>
      </c>
      <c r="B604" s="2" t="s">
        <v>2575</v>
      </c>
      <c r="C604" s="2" t="s">
        <v>1392</v>
      </c>
    </row>
    <row r="605">
      <c r="A605" s="1" t="s">
        <v>2576</v>
      </c>
      <c r="B605" s="2" t="s">
        <v>2578</v>
      </c>
      <c r="C605" s="2" t="s">
        <v>2580</v>
      </c>
    </row>
    <row r="606">
      <c r="A606" s="1" t="s">
        <v>2581</v>
      </c>
      <c r="B606" s="2" t="s">
        <v>2583</v>
      </c>
      <c r="C606" s="2" t="s">
        <v>2580</v>
      </c>
    </row>
    <row r="607">
      <c r="A607" s="1" t="s">
        <v>2585</v>
      </c>
      <c r="B607" s="2" t="s">
        <v>2587</v>
      </c>
      <c r="C607" s="2" t="s">
        <v>2580</v>
      </c>
    </row>
    <row r="608">
      <c r="A608" s="1" t="s">
        <v>2589</v>
      </c>
      <c r="B608" s="2" t="s">
        <v>2590</v>
      </c>
      <c r="C608" s="2" t="s">
        <v>1283</v>
      </c>
    </row>
    <row r="609">
      <c r="A609" s="1" t="s">
        <v>2592</v>
      </c>
      <c r="B609" s="2" t="s">
        <v>2593</v>
      </c>
      <c r="C609" s="2" t="s">
        <v>1283</v>
      </c>
    </row>
    <row r="610">
      <c r="A610" s="1" t="s">
        <v>2596</v>
      </c>
      <c r="B610" s="2" t="s">
        <v>2597</v>
      </c>
      <c r="C610" s="2" t="s">
        <v>1283</v>
      </c>
    </row>
    <row r="611">
      <c r="A611" s="1" t="s">
        <v>2600</v>
      </c>
      <c r="B611" s="2" t="s">
        <v>2601</v>
      </c>
      <c r="C611" s="2" t="s">
        <v>1283</v>
      </c>
    </row>
    <row r="612">
      <c r="A612" s="1" t="s">
        <v>2603</v>
      </c>
      <c r="B612" s="2" t="s">
        <v>2605</v>
      </c>
      <c r="C612" s="2" t="s">
        <v>1410</v>
      </c>
    </row>
    <row r="613">
      <c r="A613" s="1" t="s">
        <v>2606</v>
      </c>
      <c r="B613" s="2" t="s">
        <v>2608</v>
      </c>
      <c r="C613" s="2" t="s">
        <v>1410</v>
      </c>
    </row>
    <row r="614">
      <c r="A614" s="1" t="s">
        <v>2610</v>
      </c>
      <c r="B614" s="2" t="s">
        <v>2611</v>
      </c>
      <c r="C614" s="2" t="s">
        <v>1410</v>
      </c>
    </row>
    <row r="615">
      <c r="A615" s="1" t="s">
        <v>2614</v>
      </c>
      <c r="B615" s="2" t="s">
        <v>2615</v>
      </c>
      <c r="C615" s="2" t="s">
        <v>1410</v>
      </c>
    </row>
    <row r="616">
      <c r="A616" s="1" t="s">
        <v>2616</v>
      </c>
      <c r="B616" s="2" t="s">
        <v>2618</v>
      </c>
      <c r="C616" s="2" t="s">
        <v>1410</v>
      </c>
    </row>
    <row r="617">
      <c r="A617" s="1" t="s">
        <v>2619</v>
      </c>
      <c r="B617" s="2" t="s">
        <v>2621</v>
      </c>
      <c r="C617" s="2" t="s">
        <v>1410</v>
      </c>
    </row>
    <row r="618">
      <c r="A618" s="1" t="s">
        <v>2622</v>
      </c>
      <c r="B618" s="2" t="s">
        <v>2624</v>
      </c>
      <c r="C618" s="2" t="s">
        <v>1410</v>
      </c>
    </row>
    <row r="619">
      <c r="A619" s="1" t="s">
        <v>2626</v>
      </c>
      <c r="B619" s="2" t="s">
        <v>2627</v>
      </c>
      <c r="C619" s="2" t="s">
        <v>1410</v>
      </c>
    </row>
    <row r="620">
      <c r="A620" s="1" t="s">
        <v>2630</v>
      </c>
      <c r="B620" s="2" t="s">
        <v>2631</v>
      </c>
      <c r="C620" s="2" t="s">
        <v>457</v>
      </c>
    </row>
    <row r="621">
      <c r="A621" s="1" t="s">
        <v>2634</v>
      </c>
      <c r="B621" s="2" t="s">
        <v>2635</v>
      </c>
      <c r="C621" s="2" t="s">
        <v>457</v>
      </c>
    </row>
    <row r="622">
      <c r="A622" s="1" t="s">
        <v>2637</v>
      </c>
      <c r="B622" s="2" t="s">
        <v>2639</v>
      </c>
      <c r="C622" s="2" t="s">
        <v>743</v>
      </c>
    </row>
    <row r="623">
      <c r="A623" s="1" t="s">
        <v>740</v>
      </c>
      <c r="B623" s="2" t="s">
        <v>742</v>
      </c>
      <c r="C623" s="2" t="s">
        <v>743</v>
      </c>
    </row>
    <row r="624">
      <c r="A624" s="1" t="s">
        <v>2642</v>
      </c>
      <c r="B624" s="2" t="s">
        <v>2643</v>
      </c>
      <c r="C624" s="2" t="s">
        <v>1419</v>
      </c>
    </row>
    <row r="625">
      <c r="A625" s="1" t="s">
        <v>2646</v>
      </c>
      <c r="B625" s="2" t="s">
        <v>2647</v>
      </c>
      <c r="C625" s="2" t="s">
        <v>1407</v>
      </c>
    </row>
    <row r="626">
      <c r="A626" s="1" t="s">
        <v>2648</v>
      </c>
      <c r="B626" s="2" t="s">
        <v>2650</v>
      </c>
      <c r="C626" s="2" t="s">
        <v>1407</v>
      </c>
    </row>
    <row r="627">
      <c r="A627" s="1" t="s">
        <v>2652</v>
      </c>
      <c r="B627" s="2" t="s">
        <v>2653</v>
      </c>
      <c r="C627" s="2" t="s">
        <v>1407</v>
      </c>
    </row>
    <row r="628">
      <c r="A628" s="1" t="s">
        <v>2656</v>
      </c>
      <c r="B628" s="2" t="s">
        <v>2657</v>
      </c>
      <c r="C628" s="2" t="s">
        <v>1407</v>
      </c>
    </row>
    <row r="629">
      <c r="A629" s="1" t="s">
        <v>2658</v>
      </c>
      <c r="B629" s="2" t="s">
        <v>2660</v>
      </c>
      <c r="C629" s="2" t="s">
        <v>1407</v>
      </c>
    </row>
    <row r="630">
      <c r="A630" s="1" t="s">
        <v>2662</v>
      </c>
      <c r="B630" s="2" t="s">
        <v>2663</v>
      </c>
      <c r="C630" s="2" t="s">
        <v>1407</v>
      </c>
    </row>
    <row r="631">
      <c r="A631" s="1" t="s">
        <v>1413</v>
      </c>
      <c r="B631" s="2" t="s">
        <v>1415</v>
      </c>
      <c r="C631" s="2" t="s">
        <v>1407</v>
      </c>
    </row>
    <row r="632">
      <c r="A632" s="1" t="s">
        <v>2671</v>
      </c>
      <c r="B632" s="2" t="s">
        <v>2673</v>
      </c>
      <c r="C632" s="2" t="s">
        <v>1435</v>
      </c>
    </row>
    <row r="633">
      <c r="A633" s="1" t="s">
        <v>2674</v>
      </c>
      <c r="B633" s="2" t="s">
        <v>2676</v>
      </c>
      <c r="C633" s="2" t="s">
        <v>1435</v>
      </c>
    </row>
    <row r="634">
      <c r="A634" s="1" t="s">
        <v>2678</v>
      </c>
      <c r="B634" s="2" t="s">
        <v>2679</v>
      </c>
      <c r="C634" s="2" t="s">
        <v>1435</v>
      </c>
    </row>
    <row r="635">
      <c r="A635" s="1" t="s">
        <v>2681</v>
      </c>
      <c r="B635" s="2" t="s">
        <v>2683</v>
      </c>
      <c r="C635" s="2" t="s">
        <v>1782</v>
      </c>
    </row>
    <row r="636">
      <c r="A636" s="1" t="s">
        <v>2684</v>
      </c>
      <c r="B636" s="2" t="s">
        <v>2686</v>
      </c>
      <c r="C636" s="2" t="s">
        <v>1782</v>
      </c>
    </row>
    <row r="637">
      <c r="A637" s="1" t="s">
        <v>2688</v>
      </c>
      <c r="B637" s="2" t="s">
        <v>2689</v>
      </c>
      <c r="C637" s="2" t="s">
        <v>63</v>
      </c>
    </row>
    <row r="638">
      <c r="A638" s="1" t="s">
        <v>2692</v>
      </c>
      <c r="B638" s="2" t="s">
        <v>2693</v>
      </c>
      <c r="C638" s="2" t="s">
        <v>63</v>
      </c>
    </row>
    <row r="639">
      <c r="A639" s="1" t="s">
        <v>2695</v>
      </c>
      <c r="B639" s="2" t="s">
        <v>2697</v>
      </c>
      <c r="C639" s="2" t="s">
        <v>63</v>
      </c>
    </row>
    <row r="640">
      <c r="A640" s="1" t="s">
        <v>2698</v>
      </c>
      <c r="B640" s="2" t="s">
        <v>2699</v>
      </c>
      <c r="C640" s="2" t="s">
        <v>1635</v>
      </c>
    </row>
    <row r="641">
      <c r="A641" s="1" t="s">
        <v>2702</v>
      </c>
      <c r="B641" s="2" t="s">
        <v>2703</v>
      </c>
      <c r="C641" s="2" t="s">
        <v>1635</v>
      </c>
    </row>
    <row r="642">
      <c r="A642" s="1" t="s">
        <v>2706</v>
      </c>
      <c r="B642" s="2" t="s">
        <v>2707</v>
      </c>
      <c r="C642" s="2" t="s">
        <v>1635</v>
      </c>
    </row>
    <row r="643">
      <c r="A643" s="1" t="s">
        <v>2708</v>
      </c>
      <c r="B643" s="2" t="s">
        <v>2709</v>
      </c>
      <c r="C643" s="2" t="s">
        <v>1635</v>
      </c>
    </row>
    <row r="644">
      <c r="A644" s="1" t="s">
        <v>2712</v>
      </c>
      <c r="B644" s="2" t="s">
        <v>2714</v>
      </c>
      <c r="C644" s="2" t="s">
        <v>1445</v>
      </c>
    </row>
    <row r="645">
      <c r="A645" s="1" t="s">
        <v>2715</v>
      </c>
      <c r="B645" s="2" t="s">
        <v>2717</v>
      </c>
      <c r="C645" s="2" t="s">
        <v>1445</v>
      </c>
    </row>
    <row r="646">
      <c r="A646" s="1" t="s">
        <v>2719</v>
      </c>
      <c r="B646" s="2" t="s">
        <v>2720</v>
      </c>
      <c r="C646" s="2" t="s">
        <v>1445</v>
      </c>
    </row>
    <row r="647">
      <c r="A647" s="1" t="s">
        <v>2723</v>
      </c>
      <c r="B647" s="2" t="s">
        <v>2724</v>
      </c>
      <c r="C647" s="2" t="s">
        <v>1445</v>
      </c>
    </row>
    <row r="648">
      <c r="A648" s="1" t="s">
        <v>2726</v>
      </c>
      <c r="B648" s="2" t="s">
        <v>2727</v>
      </c>
      <c r="C648" s="2" t="s">
        <v>2571</v>
      </c>
    </row>
    <row r="649">
      <c r="A649" s="1" t="s">
        <v>2729</v>
      </c>
      <c r="B649" s="2" t="s">
        <v>2730</v>
      </c>
      <c r="C649" s="2" t="s">
        <v>1709</v>
      </c>
    </row>
    <row r="650">
      <c r="A650" s="1" t="s">
        <v>384</v>
      </c>
      <c r="B650" s="2" t="s">
        <v>2732</v>
      </c>
      <c r="C650" s="2" t="s">
        <v>1709</v>
      </c>
    </row>
    <row r="651">
      <c r="A651" s="1" t="s">
        <v>1794</v>
      </c>
      <c r="B651" s="2" t="s">
        <v>2735</v>
      </c>
      <c r="C651" s="2" t="s">
        <v>1709</v>
      </c>
    </row>
    <row r="652">
      <c r="A652" s="1" t="s">
        <v>1455</v>
      </c>
      <c r="B652" s="2" t="s">
        <v>1456</v>
      </c>
      <c r="C652" s="2" t="s">
        <v>1452</v>
      </c>
    </row>
    <row r="653">
      <c r="A653" s="1" t="s">
        <v>2737</v>
      </c>
      <c r="B653" s="2" t="s">
        <v>2738</v>
      </c>
      <c r="C653" s="2" t="s">
        <v>1452</v>
      </c>
    </row>
    <row r="654">
      <c r="A654" s="1" t="s">
        <v>2739</v>
      </c>
      <c r="B654" s="2" t="s">
        <v>2740</v>
      </c>
      <c r="C654" s="2" t="s">
        <v>1452</v>
      </c>
    </row>
    <row r="655">
      <c r="A655" s="1" t="s">
        <v>2742</v>
      </c>
      <c r="B655" s="2" t="s">
        <v>2744</v>
      </c>
      <c r="C655" s="2" t="s">
        <v>1452</v>
      </c>
    </row>
    <row r="656">
      <c r="A656" s="1" t="s">
        <v>2745</v>
      </c>
      <c r="B656" s="2" t="s">
        <v>2747</v>
      </c>
      <c r="C656" s="2" t="s">
        <v>1452</v>
      </c>
    </row>
    <row r="657">
      <c r="A657" s="1" t="s">
        <v>2748</v>
      </c>
      <c r="B657" s="2" t="s">
        <v>2749</v>
      </c>
      <c r="C657" s="2" t="s">
        <v>1452</v>
      </c>
    </row>
    <row r="658">
      <c r="A658" s="1" t="s">
        <v>2751</v>
      </c>
      <c r="B658" s="2" t="s">
        <v>2753</v>
      </c>
      <c r="C658" s="2" t="s">
        <v>784</v>
      </c>
    </row>
    <row r="659">
      <c r="A659" s="1" t="s">
        <v>2755</v>
      </c>
      <c r="B659" s="2" t="s">
        <v>2756</v>
      </c>
      <c r="C659" s="2" t="s">
        <v>1819</v>
      </c>
    </row>
    <row r="660">
      <c r="A660" s="1" t="s">
        <v>2757</v>
      </c>
      <c r="B660" s="2" t="s">
        <v>2758</v>
      </c>
      <c r="C660" s="2" t="s">
        <v>1819</v>
      </c>
    </row>
    <row r="661">
      <c r="A661" s="1" t="s">
        <v>2759</v>
      </c>
      <c r="B661" s="2" t="s">
        <v>2760</v>
      </c>
      <c r="C661" s="2" t="s">
        <v>1538</v>
      </c>
    </row>
    <row r="662">
      <c r="A662" s="1" t="s">
        <v>2762</v>
      </c>
      <c r="B662" s="2" t="s">
        <v>2764</v>
      </c>
      <c r="C662" s="2" t="s">
        <v>1538</v>
      </c>
    </row>
    <row r="663">
      <c r="A663" s="1" t="s">
        <v>2765</v>
      </c>
      <c r="B663" s="2" t="s">
        <v>2767</v>
      </c>
      <c r="C663" s="2" t="s">
        <v>1538</v>
      </c>
    </row>
    <row r="664">
      <c r="A664" s="1" t="s">
        <v>1541</v>
      </c>
      <c r="B664" s="2" t="s">
        <v>1542</v>
      </c>
      <c r="C664" s="2" t="s">
        <v>1538</v>
      </c>
    </row>
    <row r="665">
      <c r="A665" s="1" t="s">
        <v>2772</v>
      </c>
      <c r="B665" s="2" t="s">
        <v>2773</v>
      </c>
      <c r="C665" s="2" t="s">
        <v>32</v>
      </c>
    </row>
    <row r="666">
      <c r="A666" s="1" t="s">
        <v>2774</v>
      </c>
      <c r="B666" s="2" t="s">
        <v>2775</v>
      </c>
      <c r="C666" s="2" t="s">
        <v>32</v>
      </c>
    </row>
    <row r="667">
      <c r="A667" s="1" t="s">
        <v>2777</v>
      </c>
      <c r="B667" s="2" t="s">
        <v>2778</v>
      </c>
      <c r="C667" s="2" t="s">
        <v>32</v>
      </c>
    </row>
    <row r="668">
      <c r="A668" s="1" t="s">
        <v>2779</v>
      </c>
      <c r="B668" s="2" t="s">
        <v>2781</v>
      </c>
      <c r="C668" s="2" t="s">
        <v>809</v>
      </c>
    </row>
    <row r="669">
      <c r="A669" s="1" t="s">
        <v>2783</v>
      </c>
      <c r="B669" s="2" t="s">
        <v>2784</v>
      </c>
      <c r="C669" s="2" t="s">
        <v>2547</v>
      </c>
    </row>
    <row r="670">
      <c r="A670" s="1" t="s">
        <v>2787</v>
      </c>
      <c r="B670" s="2" t="s">
        <v>2789</v>
      </c>
      <c r="C670" s="2" t="s">
        <v>2547</v>
      </c>
    </row>
    <row r="671">
      <c r="A671" s="1" t="s">
        <v>2790</v>
      </c>
      <c r="B671" s="2" t="s">
        <v>2791</v>
      </c>
      <c r="C671" s="2" t="s">
        <v>2547</v>
      </c>
    </row>
    <row r="672">
      <c r="A672" s="1" t="s">
        <v>2792</v>
      </c>
      <c r="B672" s="2" t="s">
        <v>2793</v>
      </c>
      <c r="C672" s="2" t="s">
        <v>2547</v>
      </c>
    </row>
    <row r="673">
      <c r="A673" s="1" t="s">
        <v>2794</v>
      </c>
      <c r="B673" s="2" t="s">
        <v>2795</v>
      </c>
      <c r="C673" s="2" t="s">
        <v>1479</v>
      </c>
    </row>
    <row r="674">
      <c r="A674" s="1" t="s">
        <v>2798</v>
      </c>
      <c r="B674" s="2" t="s">
        <v>2799</v>
      </c>
      <c r="C674" s="2" t="s">
        <v>1479</v>
      </c>
    </row>
    <row r="675">
      <c r="A675" s="1" t="s">
        <v>2801</v>
      </c>
      <c r="B675" s="2" t="s">
        <v>2802</v>
      </c>
      <c r="C675" s="2" t="s">
        <v>1479</v>
      </c>
    </row>
    <row r="676">
      <c r="A676" s="1" t="s">
        <v>2803</v>
      </c>
      <c r="B676" s="2" t="s">
        <v>2805</v>
      </c>
      <c r="C676" s="2" t="s">
        <v>1479</v>
      </c>
    </row>
    <row r="677">
      <c r="B677" s="2">
        <f>IFERROR(__xludf.DUMMYFUNCTION("COUNTUNIQUE(B2:B676)"),674.0)</f>
        <v>674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3" max="3" width="34.88"/>
  </cols>
  <sheetData>
    <row r="1">
      <c r="A1" s="1"/>
      <c r="C1" s="2">
        <v>166.0</v>
      </c>
    </row>
    <row r="2">
      <c r="A2" s="1" t="s">
        <v>4</v>
      </c>
      <c r="B2" s="2" t="s">
        <v>5</v>
      </c>
      <c r="C2" s="2" t="s">
        <v>7</v>
      </c>
    </row>
    <row r="3">
      <c r="A3" s="1" t="s">
        <v>8</v>
      </c>
      <c r="B3" s="2" t="s">
        <v>9</v>
      </c>
      <c r="C3" s="2" t="s">
        <v>10</v>
      </c>
    </row>
    <row r="4">
      <c r="A4" s="1" t="s">
        <v>11</v>
      </c>
      <c r="B4" s="2" t="s">
        <v>12</v>
      </c>
      <c r="C4" s="2" t="s">
        <v>13</v>
      </c>
    </row>
    <row r="5">
      <c r="A5" s="1" t="s">
        <v>15</v>
      </c>
      <c r="B5" s="2" t="s">
        <v>16</v>
      </c>
      <c r="C5" s="2" t="s">
        <v>17</v>
      </c>
    </row>
    <row r="6">
      <c r="A6" s="1" t="s">
        <v>19</v>
      </c>
      <c r="B6" s="2" t="s">
        <v>20</v>
      </c>
      <c r="C6" s="2" t="s">
        <v>21</v>
      </c>
    </row>
    <row r="7">
      <c r="A7" s="1" t="s">
        <v>22</v>
      </c>
      <c r="B7" s="2" t="s">
        <v>23</v>
      </c>
      <c r="C7" s="2" t="s">
        <v>24</v>
      </c>
    </row>
    <row r="8">
      <c r="A8" s="1" t="s">
        <v>25</v>
      </c>
      <c r="B8" s="2" t="s">
        <v>26</v>
      </c>
      <c r="C8" s="2" t="s">
        <v>17</v>
      </c>
    </row>
    <row r="9">
      <c r="A9" s="1" t="s">
        <v>28</v>
      </c>
      <c r="B9" s="2" t="s">
        <v>30</v>
      </c>
      <c r="C9" s="2" t="s">
        <v>32</v>
      </c>
    </row>
    <row r="10">
      <c r="A10" s="1" t="s">
        <v>35</v>
      </c>
      <c r="B10" s="2" t="s">
        <v>36</v>
      </c>
      <c r="C10" s="2" t="s">
        <v>38</v>
      </c>
    </row>
    <row r="11">
      <c r="A11" s="1" t="s">
        <v>42</v>
      </c>
      <c r="B11" s="2" t="s">
        <v>44</v>
      </c>
      <c r="C11" s="2" t="s">
        <v>45</v>
      </c>
    </row>
    <row r="12">
      <c r="A12" s="1" t="s">
        <v>48</v>
      </c>
      <c r="B12" s="2" t="s">
        <v>50</v>
      </c>
      <c r="C12" s="2" t="s">
        <v>52</v>
      </c>
    </row>
    <row r="13">
      <c r="A13" s="1" t="s">
        <v>55</v>
      </c>
      <c r="B13" s="2" t="s">
        <v>57</v>
      </c>
      <c r="C13" s="2" t="s">
        <v>58</v>
      </c>
    </row>
    <row r="14">
      <c r="A14" s="11" t="s">
        <v>59</v>
      </c>
      <c r="B14" s="2" t="s">
        <v>62</v>
      </c>
      <c r="C14" s="2" t="s">
        <v>63</v>
      </c>
    </row>
    <row r="15">
      <c r="A15" s="11" t="s">
        <v>65</v>
      </c>
      <c r="B15" s="2" t="s">
        <v>66</v>
      </c>
      <c r="C15" s="2" t="s">
        <v>67</v>
      </c>
    </row>
    <row r="16">
      <c r="A16" s="1" t="s">
        <v>69</v>
      </c>
      <c r="B16" s="2" t="s">
        <v>71</v>
      </c>
      <c r="C16" s="2" t="s">
        <v>13</v>
      </c>
    </row>
    <row r="17">
      <c r="A17" s="1" t="s">
        <v>76</v>
      </c>
      <c r="B17" s="2" t="s">
        <v>77</v>
      </c>
      <c r="C17" s="2" t="s">
        <v>13</v>
      </c>
    </row>
    <row r="18">
      <c r="A18" s="1" t="s">
        <v>80</v>
      </c>
      <c r="B18" s="2" t="s">
        <v>82</v>
      </c>
      <c r="C18" s="2" t="s">
        <v>13</v>
      </c>
    </row>
    <row r="19">
      <c r="A19" s="1" t="s">
        <v>87</v>
      </c>
      <c r="B19" s="2" t="s">
        <v>89</v>
      </c>
      <c r="C19" s="2" t="s">
        <v>24</v>
      </c>
    </row>
    <row r="20">
      <c r="A20" s="1" t="s">
        <v>92</v>
      </c>
      <c r="B20" s="2" t="s">
        <v>94</v>
      </c>
      <c r="C20" s="2" t="s">
        <v>13</v>
      </c>
    </row>
    <row r="21">
      <c r="A21" s="1" t="s">
        <v>97</v>
      </c>
      <c r="B21" s="2" t="s">
        <v>99</v>
      </c>
      <c r="C21" s="2" t="s">
        <v>100</v>
      </c>
    </row>
    <row r="22">
      <c r="A22" s="1" t="s">
        <v>107</v>
      </c>
      <c r="B22" s="2" t="s">
        <v>108</v>
      </c>
      <c r="C22" s="2" t="s">
        <v>24</v>
      </c>
    </row>
    <row r="23">
      <c r="A23" s="1" t="s">
        <v>113</v>
      </c>
      <c r="B23" s="2" t="s">
        <v>115</v>
      </c>
      <c r="C23" s="2" t="s">
        <v>24</v>
      </c>
    </row>
    <row r="24">
      <c r="A24" s="1" t="s">
        <v>118</v>
      </c>
      <c r="B24" s="2" t="s">
        <v>120</v>
      </c>
      <c r="C24" s="2" t="s">
        <v>13</v>
      </c>
    </row>
    <row r="25">
      <c r="A25" s="1" t="s">
        <v>125</v>
      </c>
      <c r="B25" s="2" t="s">
        <v>126</v>
      </c>
      <c r="C25" s="2" t="s">
        <v>13</v>
      </c>
    </row>
    <row r="26">
      <c r="A26" s="1" t="s">
        <v>131</v>
      </c>
      <c r="B26" s="2" t="s">
        <v>132</v>
      </c>
      <c r="C26" s="2" t="s">
        <v>13</v>
      </c>
    </row>
    <row r="27">
      <c r="A27" s="1" t="s">
        <v>137</v>
      </c>
      <c r="B27" s="2" t="s">
        <v>139</v>
      </c>
      <c r="C27" s="2" t="s">
        <v>13</v>
      </c>
    </row>
    <row r="28">
      <c r="A28" s="1" t="s">
        <v>142</v>
      </c>
      <c r="B28" s="2" t="s">
        <v>144</v>
      </c>
      <c r="C28" s="2" t="s">
        <v>100</v>
      </c>
    </row>
    <row r="29">
      <c r="A29" s="1" t="s">
        <v>148</v>
      </c>
      <c r="B29" s="2" t="s">
        <v>149</v>
      </c>
      <c r="C29" s="2" t="s">
        <v>100</v>
      </c>
    </row>
    <row r="30">
      <c r="A30" s="1" t="s">
        <v>153</v>
      </c>
      <c r="B30" s="2" t="s">
        <v>155</v>
      </c>
      <c r="C30" s="2" t="s">
        <v>100</v>
      </c>
    </row>
    <row r="31">
      <c r="A31" s="1" t="s">
        <v>158</v>
      </c>
      <c r="B31" s="2" t="s">
        <v>159</v>
      </c>
      <c r="C31" s="2" t="s">
        <v>13</v>
      </c>
    </row>
    <row r="32">
      <c r="A32" s="1" t="s">
        <v>162</v>
      </c>
      <c r="B32" s="2" t="s">
        <v>163</v>
      </c>
      <c r="C32" s="2" t="s">
        <v>13</v>
      </c>
    </row>
    <row r="33">
      <c r="A33" s="1" t="s">
        <v>164</v>
      </c>
      <c r="B33" s="2" t="s">
        <v>166</v>
      </c>
      <c r="C33" s="2" t="s">
        <v>13</v>
      </c>
    </row>
    <row r="34">
      <c r="A34" s="1" t="s">
        <v>170</v>
      </c>
      <c r="B34" s="2" t="s">
        <v>171</v>
      </c>
      <c r="C34" s="2" t="s">
        <v>13</v>
      </c>
    </row>
    <row r="35">
      <c r="A35" s="1" t="s">
        <v>174</v>
      </c>
      <c r="B35" s="2" t="s">
        <v>175</v>
      </c>
      <c r="C35" s="2" t="s">
        <v>13</v>
      </c>
    </row>
    <row r="36">
      <c r="A36" s="1" t="s">
        <v>178</v>
      </c>
      <c r="B36" s="2" t="s">
        <v>180</v>
      </c>
      <c r="C36" s="2" t="s">
        <v>13</v>
      </c>
    </row>
    <row r="37">
      <c r="A37" s="1" t="s">
        <v>183</v>
      </c>
      <c r="B37" s="2" t="s">
        <v>184</v>
      </c>
      <c r="C37" s="2" t="s">
        <v>13</v>
      </c>
    </row>
    <row r="38">
      <c r="A38" s="1" t="s">
        <v>188</v>
      </c>
      <c r="B38" s="2" t="s">
        <v>190</v>
      </c>
      <c r="C38" s="2" t="s">
        <v>13</v>
      </c>
    </row>
    <row r="39">
      <c r="A39" s="1" t="s">
        <v>193</v>
      </c>
      <c r="B39" s="2" t="s">
        <v>194</v>
      </c>
      <c r="C39" s="2" t="s">
        <v>13</v>
      </c>
    </row>
    <row r="40">
      <c r="A40" s="1" t="s">
        <v>74</v>
      </c>
      <c r="B40" s="2" t="s">
        <v>75</v>
      </c>
      <c r="C40" s="2" t="s">
        <v>73</v>
      </c>
    </row>
    <row r="41">
      <c r="A41" s="1" t="s">
        <v>201</v>
      </c>
      <c r="B41" s="2" t="s">
        <v>202</v>
      </c>
      <c r="C41" s="2" t="s">
        <v>203</v>
      </c>
    </row>
    <row r="42">
      <c r="A42" s="1" t="s">
        <v>206</v>
      </c>
      <c r="B42" s="2" t="s">
        <v>208</v>
      </c>
      <c r="C42" s="2" t="s">
        <v>203</v>
      </c>
    </row>
    <row r="43">
      <c r="A43" s="1" t="s">
        <v>212</v>
      </c>
      <c r="B43" s="2" t="s">
        <v>213</v>
      </c>
      <c r="C43" s="2" t="s">
        <v>31</v>
      </c>
    </row>
    <row r="44">
      <c r="A44" s="1" t="s">
        <v>217</v>
      </c>
      <c r="B44" s="2" t="s">
        <v>219</v>
      </c>
      <c r="C44" s="2" t="s">
        <v>31</v>
      </c>
    </row>
    <row r="45">
      <c r="A45" s="1" t="s">
        <v>220</v>
      </c>
      <c r="B45" s="2" t="s">
        <v>221</v>
      </c>
      <c r="C45" s="2" t="s">
        <v>31</v>
      </c>
    </row>
    <row r="46">
      <c r="A46" s="1" t="s">
        <v>224</v>
      </c>
      <c r="B46" s="2" t="s">
        <v>225</v>
      </c>
      <c r="C46" s="2" t="s">
        <v>203</v>
      </c>
    </row>
    <row r="47">
      <c r="A47" s="1" t="s">
        <v>226</v>
      </c>
      <c r="B47" s="2" t="s">
        <v>227</v>
      </c>
      <c r="C47" s="2" t="s">
        <v>203</v>
      </c>
    </row>
    <row r="48">
      <c r="A48" s="1" t="s">
        <v>230</v>
      </c>
      <c r="B48" s="2" t="s">
        <v>232</v>
      </c>
      <c r="C48" s="2" t="s">
        <v>31</v>
      </c>
    </row>
    <row r="49">
      <c r="A49" s="1" t="s">
        <v>235</v>
      </c>
      <c r="B49" s="2" t="s">
        <v>236</v>
      </c>
      <c r="C49" s="2" t="s">
        <v>238</v>
      </c>
    </row>
    <row r="50">
      <c r="A50" s="1" t="s">
        <v>241</v>
      </c>
      <c r="B50" s="2" t="s">
        <v>243</v>
      </c>
      <c r="C50" s="2" t="s">
        <v>238</v>
      </c>
    </row>
    <row r="51">
      <c r="A51" s="1" t="s">
        <v>247</v>
      </c>
      <c r="B51" s="2" t="s">
        <v>248</v>
      </c>
      <c r="C51" s="2" t="s">
        <v>238</v>
      </c>
    </row>
    <row r="52">
      <c r="A52" s="1" t="s">
        <v>251</v>
      </c>
      <c r="B52" s="2" t="s">
        <v>252</v>
      </c>
      <c r="C52" s="2" t="s">
        <v>238</v>
      </c>
    </row>
    <row r="53">
      <c r="A53" s="1" t="s">
        <v>254</v>
      </c>
      <c r="B53" s="2" t="s">
        <v>255</v>
      </c>
      <c r="C53" s="2" t="s">
        <v>238</v>
      </c>
    </row>
    <row r="54">
      <c r="A54" s="1" t="s">
        <v>258</v>
      </c>
      <c r="B54" s="2" t="s">
        <v>260</v>
      </c>
      <c r="C54" s="2" t="s">
        <v>238</v>
      </c>
    </row>
    <row r="55">
      <c r="A55" s="1" t="s">
        <v>264</v>
      </c>
      <c r="B55" s="2" t="s">
        <v>265</v>
      </c>
      <c r="C55" s="2" t="s">
        <v>268</v>
      </c>
    </row>
    <row r="56">
      <c r="A56" s="1" t="s">
        <v>271</v>
      </c>
      <c r="B56" s="2" t="s">
        <v>272</v>
      </c>
      <c r="C56" s="2" t="s">
        <v>273</v>
      </c>
    </row>
    <row r="57">
      <c r="A57" s="1" t="s">
        <v>277</v>
      </c>
      <c r="B57" s="2" t="s">
        <v>280</v>
      </c>
      <c r="C57" s="2" t="s">
        <v>282</v>
      </c>
    </row>
    <row r="58">
      <c r="A58" s="1" t="s">
        <v>286</v>
      </c>
      <c r="B58" s="2" t="s">
        <v>288</v>
      </c>
      <c r="C58" s="2" t="s">
        <v>268</v>
      </c>
    </row>
    <row r="59">
      <c r="A59" s="1" t="s">
        <v>292</v>
      </c>
      <c r="B59" s="2" t="s">
        <v>294</v>
      </c>
      <c r="C59" s="2" t="s">
        <v>296</v>
      </c>
    </row>
    <row r="60">
      <c r="A60" s="1" t="s">
        <v>299</v>
      </c>
      <c r="B60" s="2" t="s">
        <v>300</v>
      </c>
      <c r="C60" s="2" t="s">
        <v>302</v>
      </c>
    </row>
    <row r="61">
      <c r="A61" s="1" t="s">
        <v>306</v>
      </c>
      <c r="B61" s="2" t="s">
        <v>308</v>
      </c>
      <c r="C61" s="2" t="s">
        <v>310</v>
      </c>
    </row>
    <row r="62">
      <c r="A62" s="1" t="s">
        <v>313</v>
      </c>
      <c r="B62" s="2" t="s">
        <v>314</v>
      </c>
      <c r="C62" s="2" t="s">
        <v>318</v>
      </c>
    </row>
    <row r="63">
      <c r="A63" s="1" t="s">
        <v>322</v>
      </c>
      <c r="B63" s="2" t="s">
        <v>324</v>
      </c>
      <c r="C63" s="2" t="s">
        <v>325</v>
      </c>
    </row>
    <row r="64">
      <c r="A64" s="11" t="s">
        <v>328</v>
      </c>
      <c r="B64" s="2" t="s">
        <v>331</v>
      </c>
      <c r="C64" s="2" t="s">
        <v>268</v>
      </c>
    </row>
    <row r="65">
      <c r="A65" s="1" t="s">
        <v>336</v>
      </c>
      <c r="B65" s="2" t="s">
        <v>337</v>
      </c>
      <c r="C65" s="2" t="s">
        <v>338</v>
      </c>
    </row>
    <row r="66">
      <c r="A66" s="1" t="s">
        <v>343</v>
      </c>
      <c r="B66" s="2" t="s">
        <v>344</v>
      </c>
      <c r="C66" s="2" t="s">
        <v>346</v>
      </c>
    </row>
    <row r="67">
      <c r="A67" s="1" t="s">
        <v>349</v>
      </c>
      <c r="B67" s="2" t="s">
        <v>352</v>
      </c>
      <c r="C67" s="2" t="s">
        <v>354</v>
      </c>
    </row>
    <row r="68">
      <c r="A68" s="1" t="s">
        <v>357</v>
      </c>
      <c r="B68" s="2" t="s">
        <v>360</v>
      </c>
      <c r="C68" s="2" t="s">
        <v>363</v>
      </c>
    </row>
    <row r="69">
      <c r="A69" s="1" t="s">
        <v>364</v>
      </c>
      <c r="B69" s="2" t="s">
        <v>367</v>
      </c>
      <c r="C69" s="2" t="s">
        <v>363</v>
      </c>
    </row>
    <row r="70">
      <c r="A70" s="1" t="s">
        <v>373</v>
      </c>
      <c r="B70" s="2" t="s">
        <v>375</v>
      </c>
      <c r="C70" s="2" t="s">
        <v>378</v>
      </c>
    </row>
    <row r="71">
      <c r="A71" s="1" t="s">
        <v>381</v>
      </c>
      <c r="B71" s="2" t="s">
        <v>383</v>
      </c>
      <c r="C71" s="2" t="s">
        <v>386</v>
      </c>
    </row>
    <row r="72">
      <c r="A72" s="1" t="s">
        <v>392</v>
      </c>
      <c r="B72" s="2" t="s">
        <v>394</v>
      </c>
      <c r="C72" s="2" t="s">
        <v>354</v>
      </c>
    </row>
    <row r="73">
      <c r="A73" s="1" t="s">
        <v>400</v>
      </c>
      <c r="B73" s="2" t="s">
        <v>403</v>
      </c>
      <c r="C73" s="2" t="s">
        <v>386</v>
      </c>
    </row>
    <row r="74">
      <c r="A74" s="1" t="s">
        <v>406</v>
      </c>
      <c r="B74" s="2" t="s">
        <v>408</v>
      </c>
      <c r="C74" s="2" t="s">
        <v>386</v>
      </c>
    </row>
    <row r="75">
      <c r="A75" s="1" t="s">
        <v>415</v>
      </c>
      <c r="B75" s="2" t="s">
        <v>416</v>
      </c>
      <c r="C75" s="2" t="s">
        <v>346</v>
      </c>
    </row>
    <row r="76">
      <c r="A76" s="1" t="s">
        <v>417</v>
      </c>
      <c r="B76" s="2" t="s">
        <v>419</v>
      </c>
      <c r="C76" s="2" t="s">
        <v>421</v>
      </c>
    </row>
    <row r="77">
      <c r="A77" s="1" t="s">
        <v>424</v>
      </c>
      <c r="B77" s="2" t="s">
        <v>426</v>
      </c>
      <c r="C77" s="2" t="s">
        <v>338</v>
      </c>
    </row>
    <row r="78">
      <c r="A78" s="1" t="s">
        <v>247</v>
      </c>
      <c r="B78" s="2" t="s">
        <v>432</v>
      </c>
      <c r="C78" s="2" t="s">
        <v>435</v>
      </c>
    </row>
    <row r="79">
      <c r="A79" s="1" t="s">
        <v>439</v>
      </c>
      <c r="B79" s="2" t="s">
        <v>440</v>
      </c>
      <c r="C79" s="2" t="s">
        <v>38</v>
      </c>
    </row>
    <row r="80">
      <c r="A80" s="1" t="s">
        <v>445</v>
      </c>
      <c r="B80" s="2" t="s">
        <v>446</v>
      </c>
      <c r="C80" s="2" t="s">
        <v>448</v>
      </c>
    </row>
    <row r="81">
      <c r="A81" s="1" t="s">
        <v>453</v>
      </c>
      <c r="B81" s="2" t="s">
        <v>455</v>
      </c>
      <c r="C81" s="2" t="s">
        <v>457</v>
      </c>
    </row>
    <row r="82">
      <c r="A82" s="1" t="s">
        <v>461</v>
      </c>
      <c r="B82" s="2" t="s">
        <v>463</v>
      </c>
      <c r="C82" s="2" t="s">
        <v>448</v>
      </c>
    </row>
    <row r="83">
      <c r="A83" s="1" t="s">
        <v>470</v>
      </c>
      <c r="B83" s="2" t="s">
        <v>472</v>
      </c>
      <c r="C83" s="2" t="s">
        <v>474</v>
      </c>
    </row>
    <row r="84">
      <c r="A84" s="1" t="s">
        <v>480</v>
      </c>
      <c r="B84" s="2" t="s">
        <v>481</v>
      </c>
      <c r="C84" s="2" t="s">
        <v>474</v>
      </c>
    </row>
    <row r="85">
      <c r="A85" s="1" t="s">
        <v>488</v>
      </c>
      <c r="B85" s="2" t="s">
        <v>489</v>
      </c>
      <c r="C85" s="2" t="s">
        <v>457</v>
      </c>
    </row>
    <row r="86">
      <c r="A86" s="1" t="s">
        <v>496</v>
      </c>
      <c r="B86" s="2" t="s">
        <v>498</v>
      </c>
      <c r="C86" s="2" t="s">
        <v>499</v>
      </c>
    </row>
    <row r="87">
      <c r="A87" s="1" t="s">
        <v>504</v>
      </c>
      <c r="B87" s="2" t="s">
        <v>507</v>
      </c>
      <c r="C87" s="2" t="s">
        <v>509</v>
      </c>
    </row>
    <row r="88">
      <c r="A88" s="1" t="s">
        <v>513</v>
      </c>
      <c r="B88" s="2" t="s">
        <v>515</v>
      </c>
      <c r="C88" s="2" t="s">
        <v>516</v>
      </c>
    </row>
    <row r="89">
      <c r="A89" s="1" t="s">
        <v>531</v>
      </c>
      <c r="B89" s="2" t="s">
        <v>532</v>
      </c>
      <c r="C89" s="2" t="s">
        <v>509</v>
      </c>
    </row>
    <row r="90">
      <c r="A90" s="1" t="s">
        <v>542</v>
      </c>
      <c r="B90" s="2" t="s">
        <v>544</v>
      </c>
      <c r="C90" s="2" t="s">
        <v>448</v>
      </c>
    </row>
    <row r="91">
      <c r="A91" s="1" t="s">
        <v>548</v>
      </c>
      <c r="B91" s="2" t="s">
        <v>549</v>
      </c>
      <c r="C91" s="2" t="s">
        <v>550</v>
      </c>
    </row>
    <row r="92">
      <c r="A92" s="1" t="s">
        <v>553</v>
      </c>
      <c r="B92" s="2" t="s">
        <v>556</v>
      </c>
      <c r="C92" s="2" t="s">
        <v>516</v>
      </c>
    </row>
    <row r="93">
      <c r="A93" s="1" t="s">
        <v>560</v>
      </c>
      <c r="B93" s="2" t="s">
        <v>564</v>
      </c>
      <c r="C93" s="2" t="s">
        <v>550</v>
      </c>
    </row>
    <row r="94">
      <c r="A94" s="1" t="s">
        <v>569</v>
      </c>
      <c r="B94" s="2" t="s">
        <v>571</v>
      </c>
      <c r="C94" s="2" t="s">
        <v>516</v>
      </c>
    </row>
    <row r="95">
      <c r="A95" s="1" t="s">
        <v>578</v>
      </c>
      <c r="B95" s="2" t="s">
        <v>580</v>
      </c>
      <c r="C95" s="2" t="s">
        <v>509</v>
      </c>
    </row>
    <row r="96">
      <c r="A96" s="1" t="s">
        <v>586</v>
      </c>
      <c r="B96" s="2" t="s">
        <v>587</v>
      </c>
      <c r="C96" s="2" t="s">
        <v>550</v>
      </c>
    </row>
    <row r="97">
      <c r="A97" s="1" t="s">
        <v>592</v>
      </c>
      <c r="B97" s="2" t="s">
        <v>594</v>
      </c>
      <c r="C97" s="2" t="s">
        <v>499</v>
      </c>
    </row>
    <row r="98">
      <c r="A98" s="1" t="s">
        <v>598</v>
      </c>
      <c r="B98" s="2" t="s">
        <v>600</v>
      </c>
      <c r="C98" s="2" t="s">
        <v>38</v>
      </c>
    </row>
    <row r="99">
      <c r="A99" s="1" t="s">
        <v>603</v>
      </c>
      <c r="B99" s="2" t="s">
        <v>604</v>
      </c>
      <c r="C99" s="2" t="s">
        <v>550</v>
      </c>
    </row>
    <row r="100">
      <c r="A100" s="1" t="s">
        <v>607</v>
      </c>
      <c r="B100" s="2" t="s">
        <v>608</v>
      </c>
      <c r="C100" s="2" t="s">
        <v>550</v>
      </c>
    </row>
    <row r="101">
      <c r="A101" s="1" t="s">
        <v>611</v>
      </c>
      <c r="B101" s="2" t="s">
        <v>612</v>
      </c>
      <c r="C101" s="2" t="s">
        <v>474</v>
      </c>
    </row>
    <row r="102">
      <c r="A102" s="11" t="s">
        <v>616</v>
      </c>
      <c r="B102" s="2" t="s">
        <v>617</v>
      </c>
      <c r="C102" s="2" t="s">
        <v>550</v>
      </c>
    </row>
    <row r="103">
      <c r="A103" s="1" t="s">
        <v>618</v>
      </c>
      <c r="B103" s="2" t="s">
        <v>620</v>
      </c>
      <c r="C103" s="2" t="s">
        <v>621</v>
      </c>
    </row>
    <row r="104">
      <c r="A104" s="1" t="s">
        <v>626</v>
      </c>
      <c r="B104" s="2" t="s">
        <v>627</v>
      </c>
      <c r="C104" s="2" t="s">
        <v>628</v>
      </c>
    </row>
    <row r="105">
      <c r="A105" s="1" t="s">
        <v>634</v>
      </c>
      <c r="B105" s="2" t="s">
        <v>635</v>
      </c>
      <c r="C105" s="2" t="s">
        <v>628</v>
      </c>
    </row>
    <row r="106">
      <c r="A106" s="1" t="s">
        <v>640</v>
      </c>
      <c r="B106" s="2" t="s">
        <v>643</v>
      </c>
      <c r="C106" s="2" t="s">
        <v>621</v>
      </c>
    </row>
    <row r="107">
      <c r="A107" s="1" t="s">
        <v>648</v>
      </c>
      <c r="B107" s="2" t="s">
        <v>651</v>
      </c>
      <c r="C107" s="2" t="s">
        <v>621</v>
      </c>
    </row>
    <row r="108">
      <c r="A108" s="1" t="s">
        <v>657</v>
      </c>
      <c r="B108" s="2" t="s">
        <v>659</v>
      </c>
      <c r="C108" s="2" t="s">
        <v>661</v>
      </c>
    </row>
    <row r="109">
      <c r="A109" s="1" t="s">
        <v>664</v>
      </c>
      <c r="B109" s="2" t="s">
        <v>667</v>
      </c>
      <c r="C109" s="2" t="s">
        <v>661</v>
      </c>
    </row>
    <row r="110">
      <c r="A110" s="1" t="s">
        <v>671</v>
      </c>
      <c r="B110" s="2" t="s">
        <v>673</v>
      </c>
      <c r="C110" s="2" t="s">
        <v>675</v>
      </c>
    </row>
    <row r="111">
      <c r="A111" s="1" t="s">
        <v>681</v>
      </c>
      <c r="B111" s="2" t="s">
        <v>682</v>
      </c>
      <c r="C111" s="2" t="s">
        <v>684</v>
      </c>
    </row>
    <row r="112">
      <c r="A112" s="1" t="s">
        <v>688</v>
      </c>
      <c r="B112" s="2" t="s">
        <v>690</v>
      </c>
      <c r="C112" s="2" t="s">
        <v>693</v>
      </c>
    </row>
    <row r="113">
      <c r="A113" s="1" t="s">
        <v>697</v>
      </c>
      <c r="B113" s="2" t="s">
        <v>699</v>
      </c>
      <c r="C113" s="2" t="s">
        <v>621</v>
      </c>
    </row>
    <row r="114">
      <c r="A114" s="1" t="s">
        <v>706</v>
      </c>
      <c r="B114" s="2" t="s">
        <v>709</v>
      </c>
      <c r="C114" s="2" t="s">
        <v>710</v>
      </c>
    </row>
    <row r="115">
      <c r="A115" s="1" t="s">
        <v>715</v>
      </c>
      <c r="B115" s="2" t="s">
        <v>717</v>
      </c>
      <c r="C115" s="2" t="s">
        <v>628</v>
      </c>
    </row>
    <row r="116">
      <c r="A116" s="1" t="s">
        <v>722</v>
      </c>
      <c r="B116" s="2" t="s">
        <v>723</v>
      </c>
      <c r="C116" s="2" t="s">
        <v>726</v>
      </c>
    </row>
    <row r="117">
      <c r="A117" s="1" t="s">
        <v>730</v>
      </c>
      <c r="B117" s="2" t="s">
        <v>733</v>
      </c>
      <c r="C117" s="2" t="s">
        <v>735</v>
      </c>
    </row>
    <row r="118">
      <c r="A118" s="1" t="s">
        <v>740</v>
      </c>
      <c r="B118" s="2" t="s">
        <v>742</v>
      </c>
      <c r="C118" s="2" t="s">
        <v>743</v>
      </c>
    </row>
    <row r="119">
      <c r="A119" s="1" t="s">
        <v>746</v>
      </c>
      <c r="B119" s="2" t="s">
        <v>747</v>
      </c>
      <c r="C119" s="2" t="s">
        <v>743</v>
      </c>
    </row>
    <row r="120">
      <c r="A120" s="1" t="s">
        <v>752</v>
      </c>
      <c r="B120" s="2" t="s">
        <v>756</v>
      </c>
      <c r="C120" s="2" t="s">
        <v>758</v>
      </c>
    </row>
    <row r="121">
      <c r="A121" s="1" t="s">
        <v>763</v>
      </c>
      <c r="B121" s="2" t="s">
        <v>766</v>
      </c>
      <c r="C121" s="2" t="s">
        <v>784</v>
      </c>
    </row>
    <row r="122">
      <c r="A122" s="1" t="s">
        <v>791</v>
      </c>
      <c r="B122" s="2" t="s">
        <v>793</v>
      </c>
      <c r="C122" s="2" t="s">
        <v>726</v>
      </c>
    </row>
    <row r="123">
      <c r="A123" s="1" t="s">
        <v>797</v>
      </c>
      <c r="B123" s="2" t="s">
        <v>800</v>
      </c>
      <c r="C123" s="2" t="s">
        <v>758</v>
      </c>
    </row>
    <row r="124">
      <c r="A124" s="1" t="s">
        <v>806</v>
      </c>
      <c r="B124" s="2" t="s">
        <v>808</v>
      </c>
      <c r="C124" s="2" t="s">
        <v>809</v>
      </c>
    </row>
    <row r="125">
      <c r="A125" s="1" t="s">
        <v>814</v>
      </c>
      <c r="B125" s="2" t="s">
        <v>817</v>
      </c>
      <c r="C125" s="2" t="s">
        <v>735</v>
      </c>
    </row>
    <row r="126">
      <c r="A126" s="11" t="s">
        <v>823</v>
      </c>
      <c r="B126" s="2" t="s">
        <v>825</v>
      </c>
      <c r="C126" s="2" t="s">
        <v>726</v>
      </c>
    </row>
    <row r="127">
      <c r="A127" s="1" t="s">
        <v>831</v>
      </c>
      <c r="B127" s="2" t="s">
        <v>833</v>
      </c>
      <c r="C127" s="2" t="s">
        <v>836</v>
      </c>
    </row>
    <row r="128">
      <c r="A128" s="1" t="s">
        <v>840</v>
      </c>
      <c r="B128" s="2" t="s">
        <v>842</v>
      </c>
      <c r="C128" s="2" t="s">
        <v>843</v>
      </c>
    </row>
    <row r="129">
      <c r="A129" s="1" t="s">
        <v>849</v>
      </c>
      <c r="B129" s="2" t="s">
        <v>850</v>
      </c>
      <c r="C129" s="2" t="s">
        <v>852</v>
      </c>
    </row>
    <row r="130">
      <c r="A130" s="1" t="s">
        <v>856</v>
      </c>
      <c r="B130" s="2" t="s">
        <v>858</v>
      </c>
      <c r="C130" s="2" t="s">
        <v>861</v>
      </c>
    </row>
    <row r="131">
      <c r="A131" s="1" t="s">
        <v>174</v>
      </c>
      <c r="B131" s="2" t="s">
        <v>866</v>
      </c>
      <c r="C131" s="2" t="s">
        <v>869</v>
      </c>
    </row>
    <row r="132">
      <c r="A132" s="1" t="s">
        <v>873</v>
      </c>
      <c r="B132" s="2" t="s">
        <v>875</v>
      </c>
      <c r="C132" s="2" t="s">
        <v>824</v>
      </c>
    </row>
    <row r="133">
      <c r="A133" s="1" t="s">
        <v>882</v>
      </c>
      <c r="B133" s="2" t="s">
        <v>885</v>
      </c>
      <c r="C133" s="2" t="s">
        <v>843</v>
      </c>
    </row>
    <row r="134">
      <c r="A134" s="1" t="s">
        <v>888</v>
      </c>
      <c r="B134" s="2" t="s">
        <v>891</v>
      </c>
      <c r="C134" s="2" t="s">
        <v>843</v>
      </c>
    </row>
    <row r="135">
      <c r="A135" s="1" t="s">
        <v>897</v>
      </c>
      <c r="B135" s="2" t="s">
        <v>899</v>
      </c>
      <c r="C135" s="2" t="s">
        <v>852</v>
      </c>
    </row>
    <row r="136">
      <c r="A136" s="1" t="s">
        <v>905</v>
      </c>
      <c r="B136" s="2" t="s">
        <v>908</v>
      </c>
      <c r="C136" s="2" t="s">
        <v>836</v>
      </c>
    </row>
    <row r="137">
      <c r="A137" s="1" t="s">
        <v>914</v>
      </c>
      <c r="B137" s="2" t="s">
        <v>917</v>
      </c>
      <c r="C137" s="2" t="s">
        <v>861</v>
      </c>
    </row>
    <row r="138">
      <c r="A138" s="1" t="s">
        <v>922</v>
      </c>
      <c r="B138" s="2" t="s">
        <v>924</v>
      </c>
      <c r="C138" s="2" t="s">
        <v>852</v>
      </c>
    </row>
    <row r="139">
      <c r="A139" s="1" t="s">
        <v>930</v>
      </c>
      <c r="B139" s="2" t="s">
        <v>933</v>
      </c>
      <c r="C139" s="2" t="s">
        <v>836</v>
      </c>
    </row>
    <row r="140">
      <c r="A140" s="1" t="s">
        <v>937</v>
      </c>
      <c r="B140" s="2" t="s">
        <v>939</v>
      </c>
      <c r="C140" s="2" t="s">
        <v>836</v>
      </c>
    </row>
    <row r="141">
      <c r="A141" s="1" t="s">
        <v>943</v>
      </c>
      <c r="B141" s="2" t="s">
        <v>945</v>
      </c>
      <c r="C141" s="2" t="s">
        <v>824</v>
      </c>
    </row>
    <row r="142">
      <c r="A142" s="1" t="s">
        <v>952</v>
      </c>
      <c r="B142" s="2" t="s">
        <v>954</v>
      </c>
      <c r="C142" s="2" t="s">
        <v>869</v>
      </c>
    </row>
    <row r="143">
      <c r="A143" s="1" t="s">
        <v>957</v>
      </c>
      <c r="B143" s="2" t="s">
        <v>959</v>
      </c>
      <c r="C143" s="2" t="s">
        <v>861</v>
      </c>
    </row>
    <row r="144">
      <c r="A144" s="1" t="s">
        <v>961</v>
      </c>
      <c r="B144" s="2" t="s">
        <v>963</v>
      </c>
      <c r="C144" s="2" t="s">
        <v>836</v>
      </c>
    </row>
    <row r="145">
      <c r="A145" s="1" t="s">
        <v>968</v>
      </c>
      <c r="B145" s="2" t="s">
        <v>969</v>
      </c>
      <c r="C145" s="2" t="s">
        <v>824</v>
      </c>
    </row>
    <row r="146">
      <c r="A146" s="1" t="s">
        <v>974</v>
      </c>
      <c r="B146" s="2" t="s">
        <v>976</v>
      </c>
      <c r="C146" s="2" t="s">
        <v>869</v>
      </c>
    </row>
    <row r="147">
      <c r="A147" s="1" t="s">
        <v>978</v>
      </c>
      <c r="B147" s="2" t="s">
        <v>981</v>
      </c>
      <c r="C147" s="2" t="s">
        <v>843</v>
      </c>
    </row>
    <row r="148">
      <c r="A148" s="1" t="s">
        <v>984</v>
      </c>
      <c r="B148" s="2" t="s">
        <v>985</v>
      </c>
      <c r="C148" s="2" t="s">
        <v>852</v>
      </c>
    </row>
    <row r="149">
      <c r="A149" s="1" t="s">
        <v>991</v>
      </c>
      <c r="B149" s="2" t="s">
        <v>992</v>
      </c>
      <c r="C149" s="2" t="s">
        <v>843</v>
      </c>
    </row>
    <row r="150">
      <c r="A150" s="18" t="s">
        <v>1000</v>
      </c>
      <c r="B150" s="26" t="s">
        <v>1005</v>
      </c>
      <c r="C150" s="26" t="s">
        <v>852</v>
      </c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>
      <c r="A151" s="1" t="s">
        <v>689</v>
      </c>
      <c r="B151" s="2" t="s">
        <v>691</v>
      </c>
      <c r="C151" s="2" t="s">
        <v>652</v>
      </c>
    </row>
    <row r="152">
      <c r="A152" s="1" t="s">
        <v>777</v>
      </c>
      <c r="B152" s="2" t="s">
        <v>778</v>
      </c>
      <c r="C152" s="2" t="s">
        <v>774</v>
      </c>
    </row>
    <row r="153">
      <c r="A153" s="1" t="s">
        <v>782</v>
      </c>
      <c r="B153" s="2" t="s">
        <v>783</v>
      </c>
      <c r="C153" s="2" t="s">
        <v>774</v>
      </c>
    </row>
    <row r="154">
      <c r="A154" s="1" t="s">
        <v>769</v>
      </c>
      <c r="B154" s="2" t="s">
        <v>770</v>
      </c>
      <c r="C154" s="2" t="s">
        <v>754</v>
      </c>
    </row>
    <row r="155">
      <c r="A155" s="1" t="s">
        <v>1051</v>
      </c>
      <c r="B155" s="2" t="s">
        <v>1054</v>
      </c>
      <c r="C155" s="2" t="s">
        <v>652</v>
      </c>
    </row>
    <row r="156">
      <c r="A156" s="1" t="s">
        <v>1060</v>
      </c>
      <c r="B156" s="2" t="s">
        <v>1062</v>
      </c>
      <c r="C156" s="2" t="s">
        <v>663</v>
      </c>
    </row>
    <row r="157">
      <c r="A157" s="1" t="s">
        <v>1068</v>
      </c>
      <c r="B157" s="2" t="s">
        <v>1072</v>
      </c>
      <c r="C157" s="2" t="s">
        <v>663</v>
      </c>
    </row>
    <row r="158">
      <c r="A158" s="1" t="s">
        <v>1080</v>
      </c>
      <c r="B158" s="2" t="s">
        <v>1083</v>
      </c>
      <c r="C158" s="2" t="s">
        <v>774</v>
      </c>
    </row>
    <row r="159">
      <c r="A159" s="1" t="s">
        <v>1090</v>
      </c>
      <c r="B159" s="2" t="s">
        <v>1092</v>
      </c>
      <c r="C159" s="2" t="s">
        <v>663</v>
      </c>
    </row>
    <row r="160">
      <c r="A160" s="1" t="s">
        <v>1099</v>
      </c>
      <c r="B160" s="2" t="s">
        <v>1101</v>
      </c>
      <c r="C160" s="2" t="s">
        <v>774</v>
      </c>
    </row>
    <row r="161">
      <c r="A161" s="1" t="s">
        <v>1110</v>
      </c>
      <c r="B161" s="2" t="s">
        <v>1112</v>
      </c>
      <c r="C161" s="2" t="s">
        <v>642</v>
      </c>
    </row>
    <row r="162">
      <c r="A162" s="1" t="s">
        <v>1119</v>
      </c>
      <c r="B162" s="2" t="s">
        <v>1120</v>
      </c>
      <c r="C162" s="2" t="s">
        <v>642</v>
      </c>
    </row>
    <row r="163">
      <c r="A163" s="1" t="s">
        <v>1125</v>
      </c>
      <c r="B163" s="2" t="s">
        <v>1127</v>
      </c>
      <c r="C163" s="2" t="s">
        <v>642</v>
      </c>
    </row>
    <row r="164">
      <c r="A164" s="1" t="s">
        <v>1132</v>
      </c>
      <c r="B164" s="2" t="s">
        <v>1133</v>
      </c>
      <c r="C164" s="2" t="s">
        <v>754</v>
      </c>
    </row>
    <row r="165">
      <c r="A165" s="1" t="s">
        <v>1137</v>
      </c>
      <c r="B165" s="2" t="s">
        <v>1139</v>
      </c>
      <c r="C165" s="2" t="s">
        <v>663</v>
      </c>
    </row>
    <row r="166">
      <c r="A166" s="1" t="s">
        <v>1143</v>
      </c>
      <c r="B166" s="2" t="s">
        <v>1146</v>
      </c>
      <c r="C166" s="2" t="s">
        <v>652</v>
      </c>
    </row>
    <row r="167">
      <c r="A167" s="1" t="s">
        <v>1151</v>
      </c>
      <c r="B167" s="2" t="s">
        <v>1153</v>
      </c>
      <c r="C167" s="2" t="s">
        <v>652</v>
      </c>
    </row>
    <row r="168">
      <c r="A168" s="1" t="s">
        <v>1158</v>
      </c>
      <c r="B168" s="2" t="s">
        <v>1160</v>
      </c>
      <c r="C168" s="2" t="s">
        <v>754</v>
      </c>
    </row>
    <row r="169">
      <c r="A169" s="1" t="s">
        <v>1166</v>
      </c>
      <c r="B169" s="2" t="s">
        <v>1168</v>
      </c>
      <c r="C169" s="2" t="s">
        <v>754</v>
      </c>
    </row>
    <row r="170">
      <c r="A170" s="1" t="s">
        <v>1175</v>
      </c>
      <c r="B170" s="2" t="s">
        <v>1177</v>
      </c>
      <c r="C170" s="2" t="s">
        <v>663</v>
      </c>
    </row>
    <row r="171">
      <c r="A171" s="1" t="s">
        <v>1184</v>
      </c>
      <c r="B171" s="2" t="s">
        <v>1186</v>
      </c>
      <c r="C171" s="2" t="s">
        <v>1098</v>
      </c>
    </row>
    <row r="172">
      <c r="A172" s="1" t="s">
        <v>1193</v>
      </c>
      <c r="B172" s="2" t="s">
        <v>1195</v>
      </c>
      <c r="C172" s="2" t="s">
        <v>1098</v>
      </c>
    </row>
    <row r="173">
      <c r="A173" s="1" t="s">
        <v>1202</v>
      </c>
      <c r="B173" s="2" t="s">
        <v>1205</v>
      </c>
      <c r="C173" s="2" t="s">
        <v>1098</v>
      </c>
    </row>
    <row r="174">
      <c r="A174" s="1" t="s">
        <v>1211</v>
      </c>
      <c r="B174" s="2" t="s">
        <v>1214</v>
      </c>
      <c r="C174" s="2" t="s">
        <v>1084</v>
      </c>
    </row>
    <row r="175">
      <c r="A175" s="1" t="s">
        <v>1220</v>
      </c>
      <c r="B175" s="2" t="s">
        <v>1222</v>
      </c>
      <c r="C175" s="2" t="s">
        <v>1084</v>
      </c>
    </row>
    <row r="176">
      <c r="A176" s="1" t="s">
        <v>1227</v>
      </c>
      <c r="B176" s="2" t="s">
        <v>1230</v>
      </c>
      <c r="C176" s="2" t="s">
        <v>1084</v>
      </c>
    </row>
    <row r="177">
      <c r="A177" s="1" t="s">
        <v>1235</v>
      </c>
      <c r="B177" s="2" t="s">
        <v>1237</v>
      </c>
      <c r="C177" s="2" t="s">
        <v>830</v>
      </c>
    </row>
    <row r="178">
      <c r="A178" s="1" t="s">
        <v>1242</v>
      </c>
      <c r="B178" s="2" t="s">
        <v>1243</v>
      </c>
      <c r="C178" s="2" t="s">
        <v>1084</v>
      </c>
    </row>
    <row r="179">
      <c r="A179" s="1" t="s">
        <v>1250</v>
      </c>
      <c r="B179" s="2" t="s">
        <v>1251</v>
      </c>
      <c r="C179" s="2" t="s">
        <v>1084</v>
      </c>
    </row>
    <row r="180">
      <c r="A180" s="1" t="s">
        <v>1254</v>
      </c>
      <c r="B180" s="2" t="s">
        <v>1255</v>
      </c>
      <c r="C180" s="2" t="s">
        <v>1256</v>
      </c>
    </row>
    <row r="181">
      <c r="A181" s="1" t="s">
        <v>1257</v>
      </c>
      <c r="B181" s="2" t="s">
        <v>1258</v>
      </c>
      <c r="C181" s="2" t="s">
        <v>1256</v>
      </c>
    </row>
    <row r="182">
      <c r="A182" s="1" t="s">
        <v>1259</v>
      </c>
      <c r="B182" s="2" t="s">
        <v>1260</v>
      </c>
      <c r="C182" s="2" t="s">
        <v>1256</v>
      </c>
    </row>
    <row r="183">
      <c r="A183" s="1" t="s">
        <v>1261</v>
      </c>
      <c r="B183" s="2" t="s">
        <v>1262</v>
      </c>
      <c r="C183" s="2" t="s">
        <v>830</v>
      </c>
    </row>
    <row r="184">
      <c r="A184" s="1" t="s">
        <v>1263</v>
      </c>
      <c r="B184" s="2" t="s">
        <v>1264</v>
      </c>
      <c r="C184" s="2" t="s">
        <v>830</v>
      </c>
    </row>
    <row r="185">
      <c r="A185" s="1" t="s">
        <v>1265</v>
      </c>
      <c r="B185" s="2" t="s">
        <v>1267</v>
      </c>
      <c r="C185" s="2" t="s">
        <v>830</v>
      </c>
    </row>
    <row r="186">
      <c r="A186" s="1" t="s">
        <v>1268</v>
      </c>
      <c r="B186" s="2" t="s">
        <v>1269</v>
      </c>
      <c r="C186" s="2" t="s">
        <v>830</v>
      </c>
    </row>
    <row r="187">
      <c r="A187" s="1" t="s">
        <v>1270</v>
      </c>
      <c r="B187" s="2" t="s">
        <v>1271</v>
      </c>
      <c r="C187" s="2" t="s">
        <v>1272</v>
      </c>
    </row>
    <row r="188">
      <c r="A188" s="1" t="s">
        <v>1273</v>
      </c>
      <c r="B188" s="2" t="s">
        <v>1274</v>
      </c>
      <c r="C188" s="2" t="s">
        <v>830</v>
      </c>
    </row>
    <row r="189">
      <c r="A189" s="1" t="s">
        <v>1275</v>
      </c>
      <c r="B189" s="2" t="s">
        <v>1277</v>
      </c>
      <c r="C189" s="2" t="s">
        <v>1272</v>
      </c>
    </row>
    <row r="190">
      <c r="A190" s="1" t="s">
        <v>224</v>
      </c>
      <c r="B190" s="2" t="s">
        <v>1278</v>
      </c>
      <c r="C190" s="2" t="s">
        <v>1272</v>
      </c>
    </row>
    <row r="191">
      <c r="A191" s="1" t="s">
        <v>1279</v>
      </c>
      <c r="B191" s="2" t="s">
        <v>1280</v>
      </c>
      <c r="C191" s="2" t="s">
        <v>1256</v>
      </c>
    </row>
    <row r="192">
      <c r="A192" s="1" t="s">
        <v>1281</v>
      </c>
      <c r="B192" s="2" t="s">
        <v>1282</v>
      </c>
      <c r="C192" s="2" t="s">
        <v>1283</v>
      </c>
    </row>
    <row r="193">
      <c r="A193" s="1" t="s">
        <v>1284</v>
      </c>
      <c r="B193" s="2" t="s">
        <v>1285</v>
      </c>
      <c r="C193" s="2" t="s">
        <v>1283</v>
      </c>
    </row>
    <row r="194">
      <c r="A194" s="1" t="s">
        <v>1286</v>
      </c>
      <c r="B194" s="2" t="s">
        <v>1287</v>
      </c>
      <c r="C194" s="2" t="s">
        <v>1283</v>
      </c>
    </row>
    <row r="195">
      <c r="A195" s="1" t="s">
        <v>1288</v>
      </c>
      <c r="B195" s="2" t="s">
        <v>1289</v>
      </c>
      <c r="C195" s="2" t="s">
        <v>1283</v>
      </c>
    </row>
    <row r="196">
      <c r="A196" s="1" t="s">
        <v>1290</v>
      </c>
      <c r="B196" s="2" t="s">
        <v>1291</v>
      </c>
      <c r="C196" s="2" t="s">
        <v>1272</v>
      </c>
    </row>
    <row r="197">
      <c r="A197" s="1" t="s">
        <v>1292</v>
      </c>
      <c r="B197" s="2" t="s">
        <v>1293</v>
      </c>
      <c r="C197" s="2" t="s">
        <v>830</v>
      </c>
    </row>
    <row r="198">
      <c r="A198" s="1" t="s">
        <v>1294</v>
      </c>
      <c r="B198" s="2" t="s">
        <v>1295</v>
      </c>
      <c r="C198" s="2" t="s">
        <v>1084</v>
      </c>
    </row>
    <row r="199">
      <c r="A199" s="18" t="s">
        <v>1296</v>
      </c>
      <c r="B199" s="26" t="s">
        <v>1297</v>
      </c>
      <c r="C199" s="26" t="s">
        <v>830</v>
      </c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</row>
    <row r="200">
      <c r="A200" s="1" t="s">
        <v>1298</v>
      </c>
      <c r="B200" s="2" t="s">
        <v>1299</v>
      </c>
      <c r="C200" s="2" t="s">
        <v>703</v>
      </c>
    </row>
    <row r="201">
      <c r="A201" s="1" t="s">
        <v>1300</v>
      </c>
      <c r="B201" s="2" t="s">
        <v>1301</v>
      </c>
      <c r="C201" s="2" t="s">
        <v>795</v>
      </c>
    </row>
    <row r="202">
      <c r="A202" s="1" t="s">
        <v>1302</v>
      </c>
      <c r="B202" s="2" t="s">
        <v>1303</v>
      </c>
      <c r="C202" s="2" t="s">
        <v>795</v>
      </c>
    </row>
    <row r="203">
      <c r="A203" s="1" t="s">
        <v>1304</v>
      </c>
      <c r="B203" s="2" t="s">
        <v>1305</v>
      </c>
      <c r="C203" s="2" t="s">
        <v>703</v>
      </c>
    </row>
    <row r="204">
      <c r="A204" s="1" t="s">
        <v>1306</v>
      </c>
      <c r="B204" s="2" t="s">
        <v>1307</v>
      </c>
      <c r="C204" s="2" t="s">
        <v>703</v>
      </c>
    </row>
    <row r="205">
      <c r="A205" s="1" t="s">
        <v>1308</v>
      </c>
      <c r="B205" s="2" t="s">
        <v>1309</v>
      </c>
      <c r="C205" s="2" t="s">
        <v>1310</v>
      </c>
    </row>
    <row r="206">
      <c r="A206" s="1" t="s">
        <v>1311</v>
      </c>
      <c r="B206" s="2" t="s">
        <v>1312</v>
      </c>
      <c r="C206" s="2" t="s">
        <v>1310</v>
      </c>
    </row>
    <row r="207">
      <c r="A207" s="1" t="s">
        <v>1313</v>
      </c>
      <c r="B207" s="2" t="s">
        <v>1314</v>
      </c>
      <c r="C207" s="2" t="s">
        <v>703</v>
      </c>
    </row>
    <row r="208">
      <c r="A208" s="1" t="s">
        <v>1315</v>
      </c>
      <c r="B208" s="2" t="s">
        <v>1316</v>
      </c>
      <c r="C208" s="2" t="s">
        <v>703</v>
      </c>
    </row>
    <row r="209">
      <c r="A209" s="1" t="s">
        <v>1317</v>
      </c>
      <c r="B209" s="2" t="s">
        <v>1318</v>
      </c>
      <c r="C209" s="2" t="s">
        <v>795</v>
      </c>
    </row>
    <row r="210">
      <c r="A210" s="1" t="s">
        <v>1319</v>
      </c>
      <c r="B210" s="2" t="s">
        <v>1320</v>
      </c>
      <c r="C210" s="2" t="s">
        <v>1321</v>
      </c>
    </row>
    <row r="211">
      <c r="A211" s="1" t="s">
        <v>1322</v>
      </c>
      <c r="B211" s="2" t="s">
        <v>1323</v>
      </c>
      <c r="C211" s="2" t="s">
        <v>1321</v>
      </c>
    </row>
    <row r="212">
      <c r="A212" s="1" t="s">
        <v>1324</v>
      </c>
      <c r="B212" s="2" t="s">
        <v>1325</v>
      </c>
      <c r="C212" s="2" t="s">
        <v>1321</v>
      </c>
    </row>
    <row r="213">
      <c r="A213" s="1" t="s">
        <v>1326</v>
      </c>
      <c r="B213" s="2" t="s">
        <v>1327</v>
      </c>
      <c r="C213" s="2" t="s">
        <v>31</v>
      </c>
    </row>
    <row r="214">
      <c r="A214" s="1" t="s">
        <v>1328</v>
      </c>
      <c r="B214" s="2" t="s">
        <v>1329</v>
      </c>
      <c r="C214" s="2" t="s">
        <v>1321</v>
      </c>
    </row>
    <row r="215">
      <c r="A215" s="1" t="s">
        <v>1331</v>
      </c>
      <c r="B215" s="2" t="s">
        <v>1332</v>
      </c>
      <c r="C215" s="2" t="s">
        <v>1310</v>
      </c>
    </row>
    <row r="216">
      <c r="A216" s="1" t="s">
        <v>1334</v>
      </c>
      <c r="B216" s="2" t="s">
        <v>1336</v>
      </c>
      <c r="C216" s="2" t="s">
        <v>1310</v>
      </c>
    </row>
    <row r="217">
      <c r="A217" s="1" t="s">
        <v>1339</v>
      </c>
      <c r="B217" s="2" t="s">
        <v>1340</v>
      </c>
      <c r="C217" s="2" t="s">
        <v>948</v>
      </c>
    </row>
    <row r="218">
      <c r="A218" s="1" t="s">
        <v>1347</v>
      </c>
      <c r="B218" s="2" t="s">
        <v>1349</v>
      </c>
      <c r="C218" s="2" t="s">
        <v>948</v>
      </c>
    </row>
    <row r="219">
      <c r="A219" s="1" t="s">
        <v>1354</v>
      </c>
      <c r="B219" s="2" t="s">
        <v>1357</v>
      </c>
      <c r="C219" s="2" t="s">
        <v>948</v>
      </c>
    </row>
    <row r="220">
      <c r="A220" s="1" t="s">
        <v>1360</v>
      </c>
      <c r="B220" s="2" t="s">
        <v>1361</v>
      </c>
      <c r="C220" s="2" t="s">
        <v>1369</v>
      </c>
    </row>
    <row r="221">
      <c r="A221" s="1" t="s">
        <v>1371</v>
      </c>
      <c r="B221" s="2" t="s">
        <v>1374</v>
      </c>
      <c r="C221" s="2" t="s">
        <v>619</v>
      </c>
    </row>
    <row r="222">
      <c r="A222" s="1" t="s">
        <v>1378</v>
      </c>
      <c r="B222" s="2" t="s">
        <v>1381</v>
      </c>
      <c r="C222" s="2" t="s">
        <v>619</v>
      </c>
    </row>
    <row r="223">
      <c r="A223" s="1" t="s">
        <v>1386</v>
      </c>
      <c r="B223" s="2" t="s">
        <v>1389</v>
      </c>
      <c r="C223" s="2" t="s">
        <v>619</v>
      </c>
    </row>
    <row r="224">
      <c r="A224" s="1" t="s">
        <v>1395</v>
      </c>
      <c r="B224" s="2" t="s">
        <v>1397</v>
      </c>
      <c r="C224" s="2" t="s">
        <v>619</v>
      </c>
    </row>
    <row r="225">
      <c r="A225" s="1" t="s">
        <v>1403</v>
      </c>
      <c r="B225" s="2" t="s">
        <v>1404</v>
      </c>
      <c r="C225" s="2" t="s">
        <v>1407</v>
      </c>
    </row>
    <row r="226">
      <c r="A226" s="1" t="s">
        <v>1413</v>
      </c>
      <c r="B226" s="2" t="s">
        <v>1415</v>
      </c>
      <c r="C226" s="2" t="s">
        <v>1407</v>
      </c>
    </row>
    <row r="227">
      <c r="A227" s="1" t="s">
        <v>1423</v>
      </c>
      <c r="B227" s="2" t="s">
        <v>1425</v>
      </c>
      <c r="C227" s="2" t="s">
        <v>1407</v>
      </c>
    </row>
    <row r="228">
      <c r="A228" s="1" t="s">
        <v>1430</v>
      </c>
      <c r="B228" s="2" t="s">
        <v>1432</v>
      </c>
      <c r="C228" s="2" t="s">
        <v>1407</v>
      </c>
    </row>
    <row r="229">
      <c r="A229" s="1" t="s">
        <v>1438</v>
      </c>
      <c r="B229" s="2" t="s">
        <v>1440</v>
      </c>
      <c r="C229" s="2" t="s">
        <v>1407</v>
      </c>
    </row>
    <row r="230">
      <c r="A230" s="1" t="s">
        <v>1448</v>
      </c>
      <c r="B230" s="2" t="s">
        <v>1450</v>
      </c>
      <c r="C230" s="2" t="s">
        <v>1407</v>
      </c>
    </row>
    <row r="231">
      <c r="A231" s="1" t="s">
        <v>1457</v>
      </c>
      <c r="B231" s="2" t="s">
        <v>1458</v>
      </c>
      <c r="C231" s="2" t="s">
        <v>1369</v>
      </c>
    </row>
    <row r="232">
      <c r="A232" s="1" t="s">
        <v>1463</v>
      </c>
      <c r="B232" s="2" t="s">
        <v>1465</v>
      </c>
      <c r="C232" s="2" t="s">
        <v>1369</v>
      </c>
    </row>
    <row r="233">
      <c r="A233" s="1" t="s">
        <v>1292</v>
      </c>
      <c r="B233" s="2" t="s">
        <v>1471</v>
      </c>
      <c r="C233" s="2" t="s">
        <v>1369</v>
      </c>
    </row>
    <row r="234">
      <c r="A234" s="1" t="s">
        <v>1476</v>
      </c>
      <c r="B234" s="2" t="s">
        <v>1478</v>
      </c>
      <c r="C234" s="2" t="s">
        <v>1407</v>
      </c>
    </row>
    <row r="235">
      <c r="A235" s="1" t="s">
        <v>641</v>
      </c>
      <c r="B235" s="2" t="s">
        <v>644</v>
      </c>
      <c r="C235" s="2" t="s">
        <v>619</v>
      </c>
    </row>
    <row r="236">
      <c r="A236" s="1" t="s">
        <v>1455</v>
      </c>
      <c r="B236" s="2" t="s">
        <v>1456</v>
      </c>
      <c r="C236" s="2" t="s">
        <v>1452</v>
      </c>
    </row>
    <row r="237">
      <c r="A237" s="1" t="s">
        <v>1490</v>
      </c>
      <c r="B237" s="2" t="s">
        <v>1492</v>
      </c>
      <c r="C237" s="2" t="s">
        <v>1493</v>
      </c>
    </row>
    <row r="238">
      <c r="A238" s="1" t="s">
        <v>1496</v>
      </c>
      <c r="B238" s="2" t="s">
        <v>1497</v>
      </c>
      <c r="C238" s="2" t="s">
        <v>1479</v>
      </c>
    </row>
    <row r="239">
      <c r="A239" s="1" t="s">
        <v>1500</v>
      </c>
      <c r="B239" s="2" t="s">
        <v>1502</v>
      </c>
      <c r="C239" s="2" t="s">
        <v>1493</v>
      </c>
    </row>
    <row r="240">
      <c r="A240" s="1" t="s">
        <v>1506</v>
      </c>
      <c r="B240" s="2" t="s">
        <v>1508</v>
      </c>
      <c r="C240" s="2" t="s">
        <v>1493</v>
      </c>
    </row>
    <row r="241">
      <c r="A241" s="1" t="s">
        <v>1511</v>
      </c>
      <c r="B241" s="2" t="s">
        <v>1513</v>
      </c>
      <c r="C241" s="2" t="s">
        <v>32</v>
      </c>
    </row>
    <row r="242">
      <c r="A242" s="1" t="s">
        <v>1516</v>
      </c>
      <c r="B242" s="2" t="s">
        <v>1517</v>
      </c>
      <c r="C242" s="2" t="s">
        <v>32</v>
      </c>
    </row>
    <row r="243">
      <c r="A243" s="1" t="s">
        <v>1520</v>
      </c>
      <c r="B243" s="2" t="s">
        <v>1522</v>
      </c>
      <c r="C243" s="2" t="s">
        <v>1479</v>
      </c>
    </row>
    <row r="244">
      <c r="A244" s="1" t="s">
        <v>1525</v>
      </c>
      <c r="B244" s="2" t="s">
        <v>1526</v>
      </c>
      <c r="C244" s="2" t="s">
        <v>1479</v>
      </c>
    </row>
    <row r="245">
      <c r="A245" s="1" t="s">
        <v>1529</v>
      </c>
      <c r="B245" s="2" t="s">
        <v>1532</v>
      </c>
      <c r="C245" s="2" t="s">
        <v>1479</v>
      </c>
    </row>
    <row r="246">
      <c r="A246" s="1" t="s">
        <v>1536</v>
      </c>
      <c r="B246" s="2" t="s">
        <v>1537</v>
      </c>
      <c r="C246" s="2" t="s">
        <v>1538</v>
      </c>
    </row>
    <row r="247">
      <c r="A247" s="1" t="s">
        <v>1539</v>
      </c>
      <c r="B247" s="2" t="s">
        <v>1540</v>
      </c>
      <c r="C247" s="2" t="s">
        <v>1538</v>
      </c>
    </row>
    <row r="248">
      <c r="A248" s="1" t="s">
        <v>1541</v>
      </c>
      <c r="B248" s="2" t="s">
        <v>1542</v>
      </c>
      <c r="C248" s="2" t="s">
        <v>1538</v>
      </c>
    </row>
    <row r="249">
      <c r="A249" s="1" t="s">
        <v>1547</v>
      </c>
      <c r="B249" s="2" t="s">
        <v>1550</v>
      </c>
      <c r="C249" s="2" t="s">
        <v>1538</v>
      </c>
    </row>
    <row r="250">
      <c r="A250" s="1" t="s">
        <v>1553</v>
      </c>
      <c r="B250" s="2" t="s">
        <v>1554</v>
      </c>
      <c r="C250" s="2" t="s">
        <v>1452</v>
      </c>
    </row>
    <row r="251">
      <c r="A251" s="1" t="s">
        <v>1556</v>
      </c>
      <c r="B251" s="2" t="s">
        <v>1557</v>
      </c>
      <c r="C251" s="2" t="s">
        <v>1452</v>
      </c>
    </row>
    <row r="252">
      <c r="A252" s="1" t="s">
        <v>1560</v>
      </c>
      <c r="B252" s="2" t="s">
        <v>1562</v>
      </c>
      <c r="C252" s="2" t="s">
        <v>1452</v>
      </c>
    </row>
    <row r="253">
      <c r="A253" s="1" t="s">
        <v>1565</v>
      </c>
      <c r="B253" s="2" t="s">
        <v>1567</v>
      </c>
      <c r="C253" s="2" t="s">
        <v>1452</v>
      </c>
    </row>
    <row r="254">
      <c r="A254" s="1" t="s">
        <v>1570</v>
      </c>
      <c r="B254" s="2" t="s">
        <v>1571</v>
      </c>
      <c r="C254" s="2" t="s">
        <v>883</v>
      </c>
    </row>
    <row r="255">
      <c r="A255" s="1" t="s">
        <v>1574</v>
      </c>
      <c r="B255" s="2" t="s">
        <v>1575</v>
      </c>
      <c r="C255" s="2" t="s">
        <v>883</v>
      </c>
    </row>
    <row r="256">
      <c r="A256" s="1" t="s">
        <v>1579</v>
      </c>
      <c r="B256" s="2" t="s">
        <v>1580</v>
      </c>
      <c r="C256" s="2" t="s">
        <v>883</v>
      </c>
    </row>
    <row r="257">
      <c r="A257" s="1" t="s">
        <v>1581</v>
      </c>
      <c r="B257" s="2" t="s">
        <v>1582</v>
      </c>
      <c r="C257" s="2" t="s">
        <v>883</v>
      </c>
    </row>
    <row r="258">
      <c r="A258" s="1" t="s">
        <v>1585</v>
      </c>
      <c r="B258" s="2" t="s">
        <v>1587</v>
      </c>
      <c r="C258" s="2" t="s">
        <v>864</v>
      </c>
    </row>
    <row r="259">
      <c r="A259" s="1" t="s">
        <v>1594</v>
      </c>
      <c r="B259" s="2" t="s">
        <v>1595</v>
      </c>
      <c r="C259" s="2" t="s">
        <v>864</v>
      </c>
    </row>
    <row r="260">
      <c r="A260" s="1" t="s">
        <v>1598</v>
      </c>
      <c r="B260" s="2" t="s">
        <v>1599</v>
      </c>
      <c r="C260" s="2" t="s">
        <v>864</v>
      </c>
    </row>
    <row r="261">
      <c r="A261" s="1" t="s">
        <v>1602</v>
      </c>
      <c r="B261" s="2" t="s">
        <v>1604</v>
      </c>
      <c r="C261" s="2" t="s">
        <v>864</v>
      </c>
    </row>
    <row r="262">
      <c r="A262" s="1" t="s">
        <v>1609</v>
      </c>
      <c r="B262" s="2" t="s">
        <v>1611</v>
      </c>
      <c r="C262" s="2" t="s">
        <v>1452</v>
      </c>
    </row>
    <row r="263">
      <c r="A263" s="1" t="s">
        <v>1614</v>
      </c>
      <c r="B263" s="2" t="s">
        <v>1615</v>
      </c>
      <c r="C263" s="2" t="s">
        <v>1452</v>
      </c>
    </row>
    <row r="264">
      <c r="A264" s="1" t="s">
        <v>1618</v>
      </c>
      <c r="B264" s="2" t="s">
        <v>1620</v>
      </c>
      <c r="C264" s="2" t="s">
        <v>1217</v>
      </c>
    </row>
    <row r="265">
      <c r="A265" s="1" t="s">
        <v>1623</v>
      </c>
      <c r="B265" s="2" t="s">
        <v>1625</v>
      </c>
      <c r="C265" s="2" t="s">
        <v>847</v>
      </c>
    </row>
    <row r="266">
      <c r="A266" s="1" t="s">
        <v>849</v>
      </c>
      <c r="B266" s="2" t="s">
        <v>1628</v>
      </c>
      <c r="C266" s="2" t="s">
        <v>847</v>
      </c>
    </row>
    <row r="267">
      <c r="A267" s="1" t="s">
        <v>1631</v>
      </c>
      <c r="B267" s="2" t="s">
        <v>1633</v>
      </c>
      <c r="C267" s="2" t="s">
        <v>1635</v>
      </c>
    </row>
    <row r="268">
      <c r="A268" s="1" t="s">
        <v>1637</v>
      </c>
      <c r="B268" s="2" t="s">
        <v>1639</v>
      </c>
      <c r="C268" s="2" t="s">
        <v>1640</v>
      </c>
    </row>
    <row r="269">
      <c r="A269" s="1" t="s">
        <v>1643</v>
      </c>
      <c r="B269" s="2" t="s">
        <v>1644</v>
      </c>
      <c r="C269" s="2" t="s">
        <v>1640</v>
      </c>
    </row>
    <row r="270">
      <c r="A270" s="1" t="s">
        <v>1648</v>
      </c>
      <c r="B270" s="2" t="s">
        <v>1650</v>
      </c>
      <c r="C270" s="2" t="s">
        <v>1217</v>
      </c>
    </row>
    <row r="271">
      <c r="A271" s="1" t="s">
        <v>1653</v>
      </c>
      <c r="B271" s="2" t="s">
        <v>1655</v>
      </c>
      <c r="C271" s="2" t="s">
        <v>1656</v>
      </c>
    </row>
    <row r="272">
      <c r="A272" s="1" t="s">
        <v>1659</v>
      </c>
      <c r="B272" s="2" t="s">
        <v>1660</v>
      </c>
      <c r="C272" s="2" t="s">
        <v>1656</v>
      </c>
    </row>
    <row r="273">
      <c r="A273" s="1" t="s">
        <v>1663</v>
      </c>
      <c r="B273" s="2" t="s">
        <v>1665</v>
      </c>
      <c r="C273" s="2" t="s">
        <v>1635</v>
      </c>
    </row>
    <row r="274">
      <c r="A274" s="1" t="s">
        <v>1667</v>
      </c>
      <c r="B274" s="2" t="s">
        <v>1669</v>
      </c>
      <c r="C274" s="2" t="s">
        <v>1217</v>
      </c>
    </row>
    <row r="275">
      <c r="A275" s="1" t="s">
        <v>1672</v>
      </c>
      <c r="B275" s="2" t="s">
        <v>1674</v>
      </c>
      <c r="C275" s="2" t="s">
        <v>1445</v>
      </c>
    </row>
    <row r="276">
      <c r="A276" s="1" t="s">
        <v>1677</v>
      </c>
      <c r="B276" s="2" t="s">
        <v>1678</v>
      </c>
      <c r="C276" s="2" t="s">
        <v>847</v>
      </c>
    </row>
    <row r="277">
      <c r="A277" s="1" t="s">
        <v>1682</v>
      </c>
      <c r="B277" s="2" t="s">
        <v>1684</v>
      </c>
      <c r="C277" s="2" t="s">
        <v>1640</v>
      </c>
    </row>
    <row r="278">
      <c r="A278" s="1" t="s">
        <v>1687</v>
      </c>
      <c r="B278" s="2" t="s">
        <v>1688</v>
      </c>
      <c r="C278" s="2" t="s">
        <v>1199</v>
      </c>
    </row>
    <row r="279">
      <c r="A279" s="1" t="s">
        <v>1689</v>
      </c>
      <c r="B279" s="2" t="s">
        <v>1690</v>
      </c>
      <c r="C279" s="2" t="s">
        <v>1640</v>
      </c>
    </row>
    <row r="280">
      <c r="A280" s="1" t="s">
        <v>1693</v>
      </c>
      <c r="B280" s="2" t="s">
        <v>1695</v>
      </c>
      <c r="C280" s="2" t="s">
        <v>1635</v>
      </c>
    </row>
    <row r="281">
      <c r="A281" s="1" t="s">
        <v>1698</v>
      </c>
      <c r="B281" s="2" t="s">
        <v>1700</v>
      </c>
      <c r="C281" s="2" t="s">
        <v>1656</v>
      </c>
    </row>
    <row r="282">
      <c r="A282" s="1" t="s">
        <v>1703</v>
      </c>
      <c r="B282" s="2" t="s">
        <v>1704</v>
      </c>
      <c r="C282" s="2" t="s">
        <v>1445</v>
      </c>
    </row>
    <row r="283">
      <c r="A283" s="1" t="s">
        <v>1707</v>
      </c>
      <c r="B283" s="2" t="s">
        <v>1708</v>
      </c>
      <c r="C283" s="2" t="s">
        <v>1709</v>
      </c>
    </row>
    <row r="284">
      <c r="A284" s="1" t="s">
        <v>1711</v>
      </c>
      <c r="B284" s="2" t="s">
        <v>1712</v>
      </c>
      <c r="C284" s="2" t="s">
        <v>1199</v>
      </c>
    </row>
    <row r="285">
      <c r="A285" s="1" t="s">
        <v>1713</v>
      </c>
      <c r="B285" s="2" t="s">
        <v>1714</v>
      </c>
      <c r="C285" s="2" t="s">
        <v>1656</v>
      </c>
    </row>
    <row r="286">
      <c r="A286" s="1" t="s">
        <v>1715</v>
      </c>
      <c r="B286" s="2" t="s">
        <v>1716</v>
      </c>
      <c r="C286" s="2" t="s">
        <v>1445</v>
      </c>
    </row>
    <row r="287">
      <c r="A287" s="1" t="s">
        <v>1736</v>
      </c>
      <c r="B287" s="2" t="s">
        <v>1738</v>
      </c>
      <c r="C287" s="2" t="s">
        <v>1709</v>
      </c>
    </row>
    <row r="288">
      <c r="A288" s="1" t="s">
        <v>1741</v>
      </c>
      <c r="B288" s="2" t="s">
        <v>1742</v>
      </c>
      <c r="C288" s="2" t="s">
        <v>1640</v>
      </c>
    </row>
    <row r="289">
      <c r="A289" s="1" t="s">
        <v>1745</v>
      </c>
      <c r="B289" s="2" t="s">
        <v>1746</v>
      </c>
      <c r="C289" s="2" t="s">
        <v>1217</v>
      </c>
    </row>
    <row r="290">
      <c r="A290" s="1" t="s">
        <v>1749</v>
      </c>
      <c r="B290" s="2" t="s">
        <v>1751</v>
      </c>
      <c r="C290" s="2" t="s">
        <v>1635</v>
      </c>
    </row>
    <row r="291">
      <c r="A291" s="1" t="s">
        <v>1754</v>
      </c>
      <c r="B291" s="2" t="s">
        <v>1756</v>
      </c>
      <c r="C291" s="2" t="s">
        <v>1445</v>
      </c>
    </row>
    <row r="292">
      <c r="A292" s="1" t="s">
        <v>1759</v>
      </c>
      <c r="B292" s="2" t="s">
        <v>1760</v>
      </c>
      <c r="C292" s="2" t="s">
        <v>1709</v>
      </c>
    </row>
    <row r="293">
      <c r="A293" s="1" t="s">
        <v>1763</v>
      </c>
      <c r="B293" s="2" t="s">
        <v>1765</v>
      </c>
      <c r="C293" s="2" t="s">
        <v>1199</v>
      </c>
    </row>
    <row r="294">
      <c r="A294" s="1" t="s">
        <v>1769</v>
      </c>
      <c r="B294" s="2" t="s">
        <v>1771</v>
      </c>
      <c r="C294" s="2" t="s">
        <v>1217</v>
      </c>
    </row>
    <row r="295">
      <c r="A295" s="1" t="s">
        <v>1774</v>
      </c>
      <c r="B295" s="2" t="s">
        <v>1775</v>
      </c>
      <c r="C295" s="2" t="s">
        <v>1776</v>
      </c>
    </row>
    <row r="296">
      <c r="A296" s="1" t="s">
        <v>1779</v>
      </c>
      <c r="B296" s="2" t="s">
        <v>1780</v>
      </c>
      <c r="C296" s="2" t="s">
        <v>1782</v>
      </c>
    </row>
    <row r="297">
      <c r="A297" s="1" t="s">
        <v>1783</v>
      </c>
      <c r="B297" s="2" t="s">
        <v>1785</v>
      </c>
      <c r="C297" s="2" t="s">
        <v>585</v>
      </c>
    </row>
    <row r="298">
      <c r="A298" s="1" t="s">
        <v>1788</v>
      </c>
      <c r="B298" s="2" t="s">
        <v>1789</v>
      </c>
      <c r="C298" s="2" t="s">
        <v>879</v>
      </c>
    </row>
    <row r="299">
      <c r="A299" s="1" t="s">
        <v>1792</v>
      </c>
      <c r="B299" s="2" t="s">
        <v>1793</v>
      </c>
      <c r="C299" s="2" t="s">
        <v>1233</v>
      </c>
    </row>
    <row r="300">
      <c r="A300" s="1" t="s">
        <v>1796</v>
      </c>
      <c r="B300" s="2" t="s">
        <v>1798</v>
      </c>
      <c r="C300" s="2" t="s">
        <v>1233</v>
      </c>
    </row>
    <row r="301">
      <c r="A301" s="1" t="s">
        <v>1802</v>
      </c>
      <c r="B301" s="2" t="s">
        <v>1804</v>
      </c>
      <c r="C301" s="2" t="s">
        <v>879</v>
      </c>
    </row>
    <row r="302">
      <c r="A302" s="1" t="s">
        <v>1807</v>
      </c>
      <c r="B302" s="2" t="s">
        <v>1808</v>
      </c>
      <c r="C302" s="2" t="s">
        <v>1809</v>
      </c>
    </row>
    <row r="303">
      <c r="A303" s="1" t="s">
        <v>1810</v>
      </c>
      <c r="B303" s="2" t="s">
        <v>1811</v>
      </c>
      <c r="C303" s="2" t="s">
        <v>1782</v>
      </c>
    </row>
    <row r="304">
      <c r="A304" s="1" t="s">
        <v>1814</v>
      </c>
      <c r="B304" s="2" t="s">
        <v>1816</v>
      </c>
      <c r="C304" s="2" t="s">
        <v>1819</v>
      </c>
    </row>
    <row r="305">
      <c r="A305" s="1" t="s">
        <v>1821</v>
      </c>
      <c r="B305" s="2" t="s">
        <v>1823</v>
      </c>
      <c r="C305" s="2" t="s">
        <v>1419</v>
      </c>
    </row>
    <row r="306">
      <c r="A306" s="1" t="s">
        <v>1824</v>
      </c>
      <c r="B306" s="2" t="s">
        <v>1825</v>
      </c>
      <c r="C306" s="2" t="s">
        <v>1776</v>
      </c>
    </row>
    <row r="307">
      <c r="A307" s="1" t="s">
        <v>1828</v>
      </c>
      <c r="B307" s="2" t="s">
        <v>1830</v>
      </c>
      <c r="C307" s="2" t="s">
        <v>1512</v>
      </c>
    </row>
    <row r="308">
      <c r="A308" s="1" t="s">
        <v>1834</v>
      </c>
      <c r="B308" s="2" t="s">
        <v>1836</v>
      </c>
      <c r="C308" s="2" t="s">
        <v>1233</v>
      </c>
    </row>
    <row r="309">
      <c r="A309" s="1" t="s">
        <v>1839</v>
      </c>
      <c r="B309" s="2" t="s">
        <v>1840</v>
      </c>
      <c r="C309" s="2" t="s">
        <v>1809</v>
      </c>
    </row>
    <row r="310">
      <c r="A310" s="1" t="s">
        <v>1843</v>
      </c>
      <c r="B310" s="2" t="s">
        <v>1846</v>
      </c>
      <c r="C310" s="2" t="s">
        <v>1233</v>
      </c>
    </row>
    <row r="311">
      <c r="A311" s="1" t="s">
        <v>1848</v>
      </c>
      <c r="B311" s="2" t="s">
        <v>1850</v>
      </c>
      <c r="C311" s="2" t="s">
        <v>1233</v>
      </c>
    </row>
    <row r="312">
      <c r="A312" s="1" t="s">
        <v>1854</v>
      </c>
      <c r="B312" s="2" t="s">
        <v>1855</v>
      </c>
      <c r="C312" s="2" t="s">
        <v>1233</v>
      </c>
    </row>
    <row r="313">
      <c r="A313" s="1" t="s">
        <v>1858</v>
      </c>
      <c r="B313" s="2" t="s">
        <v>1859</v>
      </c>
      <c r="C313" s="2" t="s">
        <v>58</v>
      </c>
    </row>
    <row r="314">
      <c r="A314" s="1" t="s">
        <v>1862</v>
      </c>
      <c r="B314" s="2" t="s">
        <v>1864</v>
      </c>
      <c r="C314" s="2" t="s">
        <v>524</v>
      </c>
    </row>
    <row r="315">
      <c r="A315" s="1" t="s">
        <v>1868</v>
      </c>
      <c r="B315" s="2" t="s">
        <v>1870</v>
      </c>
      <c r="C315" s="2" t="s">
        <v>58</v>
      </c>
    </row>
    <row r="316">
      <c r="A316" s="1" t="s">
        <v>1873</v>
      </c>
      <c r="B316" s="2" t="s">
        <v>1874</v>
      </c>
      <c r="C316" s="2" t="s">
        <v>1875</v>
      </c>
    </row>
    <row r="317">
      <c r="A317" s="1" t="s">
        <v>1878</v>
      </c>
      <c r="B317" s="2" t="s">
        <v>1880</v>
      </c>
      <c r="C317" s="2" t="s">
        <v>1208</v>
      </c>
    </row>
    <row r="318">
      <c r="A318" s="1" t="s">
        <v>1888</v>
      </c>
      <c r="B318" s="2" t="s">
        <v>1890</v>
      </c>
      <c r="C318" s="2" t="s">
        <v>524</v>
      </c>
    </row>
    <row r="319">
      <c r="A319" s="1" t="s">
        <v>1895</v>
      </c>
      <c r="B319" s="2" t="s">
        <v>1896</v>
      </c>
      <c r="C319" s="2" t="s">
        <v>58</v>
      </c>
    </row>
    <row r="320">
      <c r="A320" s="1" t="s">
        <v>1904</v>
      </c>
      <c r="B320" s="2" t="s">
        <v>1905</v>
      </c>
      <c r="C320" s="2" t="s">
        <v>1875</v>
      </c>
    </row>
    <row r="321">
      <c r="A321" s="1" t="s">
        <v>1908</v>
      </c>
      <c r="B321" s="2" t="s">
        <v>1910</v>
      </c>
      <c r="C321" s="2" t="s">
        <v>695</v>
      </c>
    </row>
    <row r="322">
      <c r="A322" s="1" t="s">
        <v>1914</v>
      </c>
      <c r="B322" s="2" t="s">
        <v>1915</v>
      </c>
      <c r="C322" s="2" t="s">
        <v>1875</v>
      </c>
    </row>
    <row r="323">
      <c r="A323" s="1" t="s">
        <v>1919</v>
      </c>
      <c r="B323" s="2" t="s">
        <v>1921</v>
      </c>
      <c r="C323" s="2" t="s">
        <v>816</v>
      </c>
    </row>
    <row r="324">
      <c r="A324" s="1" t="s">
        <v>1925</v>
      </c>
      <c r="B324" s="2" t="s">
        <v>1926</v>
      </c>
      <c r="C324" s="2" t="s">
        <v>1208</v>
      </c>
    </row>
    <row r="325">
      <c r="A325" s="1" t="s">
        <v>1930</v>
      </c>
      <c r="B325" s="2" t="s">
        <v>1931</v>
      </c>
      <c r="C325" s="2" t="s">
        <v>1208</v>
      </c>
    </row>
    <row r="326">
      <c r="A326" s="1" t="s">
        <v>1934</v>
      </c>
      <c r="B326" s="2" t="s">
        <v>1936</v>
      </c>
      <c r="C326" s="2" t="s">
        <v>1208</v>
      </c>
    </row>
    <row r="327">
      <c r="A327" s="1" t="s">
        <v>1939</v>
      </c>
      <c r="B327" s="2" t="s">
        <v>1941</v>
      </c>
      <c r="C327" s="2" t="s">
        <v>816</v>
      </c>
    </row>
    <row r="328">
      <c r="A328" s="1" t="s">
        <v>1406</v>
      </c>
      <c r="B328" s="2" t="s">
        <v>1409</v>
      </c>
      <c r="C328" s="2" t="s">
        <v>816</v>
      </c>
    </row>
    <row r="329">
      <c r="A329" s="1" t="s">
        <v>1947</v>
      </c>
      <c r="B329" s="2" t="s">
        <v>1949</v>
      </c>
      <c r="C329" s="2" t="s">
        <v>1208</v>
      </c>
    </row>
    <row r="330">
      <c r="A330" s="1" t="s">
        <v>1952</v>
      </c>
      <c r="B330" s="2" t="s">
        <v>1954</v>
      </c>
      <c r="C330" s="2" t="s">
        <v>524</v>
      </c>
    </row>
    <row r="331">
      <c r="A331" s="1" t="s">
        <v>1958</v>
      </c>
      <c r="B331" s="2" t="s">
        <v>1959</v>
      </c>
      <c r="C331" s="2" t="s">
        <v>1074</v>
      </c>
    </row>
    <row r="332">
      <c r="A332" s="1" t="s">
        <v>1962</v>
      </c>
      <c r="B332" s="2" t="s">
        <v>1964</v>
      </c>
      <c r="C332" s="2" t="s">
        <v>1208</v>
      </c>
    </row>
    <row r="333">
      <c r="A333" s="1" t="s">
        <v>1967</v>
      </c>
      <c r="B333" s="2" t="s">
        <v>1969</v>
      </c>
      <c r="C333" s="2" t="s">
        <v>695</v>
      </c>
    </row>
    <row r="334">
      <c r="A334" s="1" t="s">
        <v>1973</v>
      </c>
      <c r="B334" s="2" t="s">
        <v>1974</v>
      </c>
      <c r="C334" s="2" t="s">
        <v>58</v>
      </c>
    </row>
    <row r="335">
      <c r="A335" s="1" t="s">
        <v>1977</v>
      </c>
      <c r="B335" s="2" t="s">
        <v>1978</v>
      </c>
      <c r="C335" s="2" t="s">
        <v>695</v>
      </c>
    </row>
    <row r="336">
      <c r="A336" s="1" t="s">
        <v>1981</v>
      </c>
      <c r="B336" s="2" t="s">
        <v>1983</v>
      </c>
      <c r="C336" s="2" t="s">
        <v>1074</v>
      </c>
    </row>
    <row r="337">
      <c r="A337" s="1" t="s">
        <v>1987</v>
      </c>
      <c r="B337" s="2" t="s">
        <v>1989</v>
      </c>
      <c r="C337" s="2" t="s">
        <v>1875</v>
      </c>
    </row>
    <row r="338">
      <c r="A338" s="1" t="s">
        <v>1992</v>
      </c>
      <c r="B338" s="2" t="s">
        <v>1994</v>
      </c>
      <c r="C338" s="2" t="s">
        <v>524</v>
      </c>
    </row>
    <row r="339">
      <c r="A339" s="1" t="s">
        <v>1997</v>
      </c>
      <c r="B339" s="2" t="s">
        <v>1998</v>
      </c>
      <c r="C339" s="2" t="s">
        <v>816</v>
      </c>
    </row>
    <row r="340">
      <c r="A340" s="1" t="s">
        <v>2000</v>
      </c>
      <c r="B340" s="2" t="s">
        <v>2001</v>
      </c>
      <c r="C340" s="2" t="s">
        <v>816</v>
      </c>
    </row>
    <row r="341">
      <c r="A341" s="1" t="s">
        <v>2003</v>
      </c>
      <c r="B341" s="2" t="s">
        <v>2005</v>
      </c>
      <c r="C341" s="2" t="s">
        <v>2006</v>
      </c>
    </row>
    <row r="342">
      <c r="A342" s="1" t="s">
        <v>2009</v>
      </c>
      <c r="B342" s="2" t="s">
        <v>2010</v>
      </c>
      <c r="C342" s="2" t="s">
        <v>2006</v>
      </c>
    </row>
    <row r="343">
      <c r="A343" s="1" t="s">
        <v>2013</v>
      </c>
      <c r="B343" s="2" t="s">
        <v>2014</v>
      </c>
      <c r="C343" s="2" t="s">
        <v>1208</v>
      </c>
    </row>
    <row r="344">
      <c r="A344" s="1" t="s">
        <v>2017</v>
      </c>
      <c r="B344" s="2" t="s">
        <v>2019</v>
      </c>
      <c r="C344" s="2" t="s">
        <v>1074</v>
      </c>
    </row>
    <row r="345">
      <c r="A345" s="1" t="s">
        <v>2021</v>
      </c>
      <c r="B345" s="2" t="s">
        <v>2023</v>
      </c>
      <c r="C345" s="2" t="s">
        <v>58</v>
      </c>
    </row>
    <row r="346">
      <c r="A346" s="1" t="s">
        <v>2026</v>
      </c>
      <c r="B346" s="2" t="s">
        <v>2027</v>
      </c>
      <c r="C346" s="2" t="s">
        <v>2006</v>
      </c>
    </row>
    <row r="347">
      <c r="A347" s="1" t="s">
        <v>2031</v>
      </c>
      <c r="B347" s="2" t="s">
        <v>2032</v>
      </c>
      <c r="C347" s="2" t="s">
        <v>58</v>
      </c>
    </row>
    <row r="348">
      <c r="A348" s="1" t="s">
        <v>133</v>
      </c>
      <c r="B348" s="2" t="s">
        <v>134</v>
      </c>
      <c r="C348" s="2" t="s">
        <v>135</v>
      </c>
    </row>
    <row r="349">
      <c r="A349" s="1" t="s">
        <v>2036</v>
      </c>
      <c r="B349" s="2" t="s">
        <v>2038</v>
      </c>
      <c r="C349" s="2" t="s">
        <v>2039</v>
      </c>
    </row>
    <row r="350">
      <c r="A350" s="1" t="s">
        <v>2043</v>
      </c>
      <c r="B350" s="2" t="s">
        <v>2044</v>
      </c>
      <c r="C350" s="2" t="s">
        <v>2039</v>
      </c>
    </row>
    <row r="351">
      <c r="A351" s="1" t="s">
        <v>2045</v>
      </c>
      <c r="B351" s="2" t="s">
        <v>2047</v>
      </c>
      <c r="C351" s="2" t="s">
        <v>2039</v>
      </c>
    </row>
    <row r="352">
      <c r="A352" s="1" t="s">
        <v>2050</v>
      </c>
      <c r="B352" s="2" t="s">
        <v>2052</v>
      </c>
      <c r="C352" s="2" t="s">
        <v>2039</v>
      </c>
    </row>
    <row r="353">
      <c r="A353" s="1" t="s">
        <v>2056</v>
      </c>
      <c r="B353" s="2" t="s">
        <v>2057</v>
      </c>
      <c r="C353" s="2" t="s">
        <v>7</v>
      </c>
    </row>
    <row r="354">
      <c r="A354" s="1" t="s">
        <v>2058</v>
      </c>
      <c r="B354" s="2" t="s">
        <v>2059</v>
      </c>
      <c r="C354" s="2" t="s">
        <v>7</v>
      </c>
    </row>
    <row r="355">
      <c r="A355" s="1" t="s">
        <v>2062</v>
      </c>
      <c r="B355" s="2" t="s">
        <v>2063</v>
      </c>
      <c r="C355" s="2" t="s">
        <v>7</v>
      </c>
    </row>
    <row r="356">
      <c r="A356" s="1" t="s">
        <v>2067</v>
      </c>
      <c r="B356" s="2" t="s">
        <v>2069</v>
      </c>
      <c r="C356" s="2" t="s">
        <v>7</v>
      </c>
    </row>
    <row r="357">
      <c r="A357" s="1" t="s">
        <v>2072</v>
      </c>
      <c r="B357" s="2" t="s">
        <v>2074</v>
      </c>
      <c r="C357" s="2" t="s">
        <v>7</v>
      </c>
    </row>
    <row r="358">
      <c r="A358" s="1" t="s">
        <v>2078</v>
      </c>
      <c r="B358" s="2" t="s">
        <v>2079</v>
      </c>
      <c r="C358" s="2" t="s">
        <v>1181</v>
      </c>
    </row>
    <row r="359">
      <c r="A359" s="1" t="s">
        <v>2082</v>
      </c>
      <c r="B359" s="2" t="s">
        <v>2084</v>
      </c>
      <c r="C359" s="2" t="s">
        <v>1181</v>
      </c>
    </row>
    <row r="360">
      <c r="A360" s="1" t="s">
        <v>2089</v>
      </c>
      <c r="B360" s="2" t="s">
        <v>2091</v>
      </c>
      <c r="C360" s="2" t="s">
        <v>1181</v>
      </c>
    </row>
    <row r="361">
      <c r="A361" s="1" t="s">
        <v>2094</v>
      </c>
      <c r="B361" s="2" t="s">
        <v>2095</v>
      </c>
      <c r="C361" s="2" t="s">
        <v>7</v>
      </c>
    </row>
    <row r="362">
      <c r="A362" s="1" t="s">
        <v>2099</v>
      </c>
      <c r="B362" s="2" t="s">
        <v>2100</v>
      </c>
      <c r="C362" s="2" t="s">
        <v>1181</v>
      </c>
    </row>
    <row r="363">
      <c r="A363" s="1" t="s">
        <v>2103</v>
      </c>
      <c r="B363" s="2" t="s">
        <v>2105</v>
      </c>
      <c r="C363" s="2" t="s">
        <v>2107</v>
      </c>
    </row>
    <row r="364">
      <c r="A364" s="1" t="s">
        <v>2110</v>
      </c>
      <c r="B364" s="2" t="s">
        <v>2112</v>
      </c>
      <c r="C364" s="2" t="s">
        <v>2107</v>
      </c>
    </row>
    <row r="365">
      <c r="A365" s="1" t="s">
        <v>2114</v>
      </c>
      <c r="B365" s="2" t="s">
        <v>2116</v>
      </c>
      <c r="C365" s="2" t="s">
        <v>2107</v>
      </c>
    </row>
    <row r="366">
      <c r="A366" s="1" t="s">
        <v>2119</v>
      </c>
      <c r="B366" s="2" t="s">
        <v>2121</v>
      </c>
      <c r="C366" s="2" t="s">
        <v>2107</v>
      </c>
    </row>
    <row r="367">
      <c r="A367" s="1" t="s">
        <v>2124</v>
      </c>
      <c r="B367" s="2" t="s">
        <v>2126</v>
      </c>
      <c r="C367" s="2" t="s">
        <v>2107</v>
      </c>
    </row>
    <row r="368">
      <c r="A368" s="1" t="s">
        <v>2129</v>
      </c>
      <c r="B368" s="2" t="s">
        <v>2132</v>
      </c>
      <c r="C368" s="2" t="s">
        <v>1190</v>
      </c>
    </row>
    <row r="369">
      <c r="A369" s="1" t="s">
        <v>2136</v>
      </c>
      <c r="B369" s="2" t="s">
        <v>2138</v>
      </c>
      <c r="C369" s="2" t="s">
        <v>1190</v>
      </c>
    </row>
    <row r="370">
      <c r="A370" s="1" t="s">
        <v>2142</v>
      </c>
      <c r="B370" s="2" t="s">
        <v>2143</v>
      </c>
      <c r="C370" s="2" t="s">
        <v>1190</v>
      </c>
    </row>
    <row r="371">
      <c r="A371" s="1" t="s">
        <v>2146</v>
      </c>
      <c r="B371" s="2" t="s">
        <v>2149</v>
      </c>
      <c r="C371" s="2" t="s">
        <v>1190</v>
      </c>
    </row>
    <row r="372">
      <c r="A372" s="1" t="s">
        <v>2152</v>
      </c>
      <c r="B372" s="2" t="s">
        <v>2154</v>
      </c>
      <c r="C372" s="2" t="s">
        <v>1190</v>
      </c>
    </row>
    <row r="373">
      <c r="A373" s="1" t="s">
        <v>140</v>
      </c>
      <c r="B373" s="2" t="s">
        <v>141</v>
      </c>
      <c r="C373" s="2" t="s">
        <v>135</v>
      </c>
    </row>
    <row r="374">
      <c r="A374" s="1" t="s">
        <v>143</v>
      </c>
      <c r="B374" s="2" t="s">
        <v>145</v>
      </c>
      <c r="C374" s="2" t="s">
        <v>135</v>
      </c>
    </row>
    <row r="375">
      <c r="A375" s="1" t="s">
        <v>2161</v>
      </c>
      <c r="B375" s="2" t="s">
        <v>2163</v>
      </c>
      <c r="C375" s="2" t="s">
        <v>135</v>
      </c>
    </row>
    <row r="376">
      <c r="A376" s="1" t="s">
        <v>2166</v>
      </c>
      <c r="B376" s="2" t="s">
        <v>2168</v>
      </c>
      <c r="C376" s="2" t="s">
        <v>100</v>
      </c>
    </row>
    <row r="377">
      <c r="A377" s="1" t="s">
        <v>2171</v>
      </c>
      <c r="B377" s="2" t="s">
        <v>2172</v>
      </c>
      <c r="C377" s="2" t="s">
        <v>1181</v>
      </c>
    </row>
    <row r="378">
      <c r="A378" s="1" t="s">
        <v>146</v>
      </c>
      <c r="B378" s="2" t="s">
        <v>147</v>
      </c>
      <c r="C378" s="2" t="s">
        <v>135</v>
      </c>
    </row>
    <row r="379">
      <c r="A379" s="1" t="s">
        <v>2178</v>
      </c>
      <c r="B379" s="2" t="s">
        <v>2180</v>
      </c>
      <c r="C379" s="2" t="s">
        <v>1109</v>
      </c>
    </row>
    <row r="380">
      <c r="A380" s="1" t="s">
        <v>2183</v>
      </c>
      <c r="B380" s="2" t="s">
        <v>2184</v>
      </c>
      <c r="C380" s="2" t="s">
        <v>1109</v>
      </c>
    </row>
    <row r="381">
      <c r="A381" s="1" t="s">
        <v>2185</v>
      </c>
      <c r="B381" s="2" t="s">
        <v>2186</v>
      </c>
      <c r="C381" s="2" t="s">
        <v>1109</v>
      </c>
    </row>
    <row r="382">
      <c r="A382" s="1" t="s">
        <v>1207</v>
      </c>
      <c r="B382" s="2" t="s">
        <v>1209</v>
      </c>
      <c r="C382" s="2" t="s">
        <v>773</v>
      </c>
    </row>
    <row r="383">
      <c r="A383" s="1" t="s">
        <v>2193</v>
      </c>
      <c r="B383" s="2" t="s">
        <v>2194</v>
      </c>
      <c r="C383" s="2" t="s">
        <v>773</v>
      </c>
    </row>
    <row r="384">
      <c r="A384" s="1" t="s">
        <v>2197</v>
      </c>
      <c r="B384" s="2" t="s">
        <v>2198</v>
      </c>
      <c r="C384" s="2" t="s">
        <v>773</v>
      </c>
    </row>
    <row r="385">
      <c r="A385" s="1" t="s">
        <v>2201</v>
      </c>
      <c r="B385" s="2" t="s">
        <v>2202</v>
      </c>
      <c r="C385" s="2" t="s">
        <v>773</v>
      </c>
    </row>
    <row r="386">
      <c r="A386" s="1" t="s">
        <v>1234</v>
      </c>
      <c r="B386" s="2" t="s">
        <v>1236</v>
      </c>
      <c r="C386" s="2" t="s">
        <v>1215</v>
      </c>
    </row>
    <row r="387">
      <c r="A387" s="1" t="s">
        <v>2208</v>
      </c>
      <c r="B387" s="2" t="s">
        <v>2210</v>
      </c>
      <c r="C387" s="2" t="s">
        <v>1215</v>
      </c>
    </row>
    <row r="388">
      <c r="A388" s="1" t="s">
        <v>1240</v>
      </c>
      <c r="B388" s="2" t="s">
        <v>1241</v>
      </c>
      <c r="C388" s="2" t="s">
        <v>1215</v>
      </c>
    </row>
    <row r="389">
      <c r="A389" s="1" t="s">
        <v>2215</v>
      </c>
      <c r="B389" s="2" t="s">
        <v>2216</v>
      </c>
      <c r="C389" s="2" t="s">
        <v>1215</v>
      </c>
    </row>
    <row r="390">
      <c r="A390" s="1" t="s">
        <v>2217</v>
      </c>
      <c r="B390" s="2" t="s">
        <v>2219</v>
      </c>
      <c r="C390" s="2" t="s">
        <v>1215</v>
      </c>
    </row>
    <row r="391">
      <c r="A391" s="1" t="s">
        <v>2222</v>
      </c>
      <c r="B391" s="2" t="s">
        <v>2224</v>
      </c>
      <c r="C391" s="2" t="s">
        <v>342</v>
      </c>
    </row>
    <row r="392">
      <c r="A392" s="1" t="s">
        <v>178</v>
      </c>
      <c r="B392" s="2" t="s">
        <v>2227</v>
      </c>
      <c r="C392" s="2" t="s">
        <v>1109</v>
      </c>
    </row>
    <row r="393">
      <c r="A393" s="1" t="s">
        <v>2230</v>
      </c>
      <c r="B393" s="2" t="s">
        <v>2232</v>
      </c>
      <c r="C393" s="2" t="s">
        <v>1109</v>
      </c>
    </row>
    <row r="394">
      <c r="A394" s="1" t="s">
        <v>2235</v>
      </c>
      <c r="B394" s="2" t="s">
        <v>2237</v>
      </c>
      <c r="C394" s="2" t="s">
        <v>342</v>
      </c>
    </row>
    <row r="395">
      <c r="A395" s="1" t="s">
        <v>2242</v>
      </c>
      <c r="B395" s="2" t="s">
        <v>2243</v>
      </c>
      <c r="C395" s="2" t="s">
        <v>342</v>
      </c>
    </row>
    <row r="396">
      <c r="A396" s="1" t="s">
        <v>1150</v>
      </c>
      <c r="B396" s="2" t="s">
        <v>1152</v>
      </c>
      <c r="C396" s="2" t="s">
        <v>10</v>
      </c>
    </row>
    <row r="397">
      <c r="A397" s="1" t="s">
        <v>2248</v>
      </c>
      <c r="B397" s="2" t="s">
        <v>2249</v>
      </c>
      <c r="C397" s="2" t="s">
        <v>10</v>
      </c>
    </row>
    <row r="398">
      <c r="A398" s="1" t="s">
        <v>1154</v>
      </c>
      <c r="B398" s="2" t="s">
        <v>1155</v>
      </c>
      <c r="C398" s="2" t="s">
        <v>10</v>
      </c>
    </row>
    <row r="399">
      <c r="A399" s="1" t="s">
        <v>1156</v>
      </c>
      <c r="B399" s="2" t="s">
        <v>1157</v>
      </c>
      <c r="C399" s="2" t="s">
        <v>10</v>
      </c>
    </row>
    <row r="400">
      <c r="A400" s="1" t="s">
        <v>2256</v>
      </c>
      <c r="B400" s="2" t="s">
        <v>2257</v>
      </c>
      <c r="C400" s="2" t="s">
        <v>10</v>
      </c>
    </row>
    <row r="401">
      <c r="A401" s="1" t="s">
        <v>1162</v>
      </c>
      <c r="B401" s="2" t="s">
        <v>1163</v>
      </c>
      <c r="C401" s="2" t="s">
        <v>10</v>
      </c>
    </row>
    <row r="402">
      <c r="A402" s="1" t="s">
        <v>2260</v>
      </c>
      <c r="B402" s="2" t="s">
        <v>2262</v>
      </c>
      <c r="C402" s="2" t="s">
        <v>762</v>
      </c>
    </row>
    <row r="403">
      <c r="A403" s="1" t="s">
        <v>2265</v>
      </c>
      <c r="B403" s="2" t="s">
        <v>2267</v>
      </c>
      <c r="C403" s="2" t="s">
        <v>762</v>
      </c>
    </row>
    <row r="404">
      <c r="A404" s="1" t="s">
        <v>2270</v>
      </c>
      <c r="B404" s="2" t="s">
        <v>2271</v>
      </c>
      <c r="C404" s="2" t="s">
        <v>762</v>
      </c>
    </row>
    <row r="405">
      <c r="A405" s="1" t="s">
        <v>2274</v>
      </c>
      <c r="B405" s="2" t="s">
        <v>2276</v>
      </c>
      <c r="C405" s="2" t="s">
        <v>762</v>
      </c>
    </row>
    <row r="406">
      <c r="A406" s="1" t="s">
        <v>2279</v>
      </c>
      <c r="B406" s="2" t="s">
        <v>2281</v>
      </c>
      <c r="C406" s="2" t="s">
        <v>762</v>
      </c>
    </row>
    <row r="407">
      <c r="A407" s="1" t="s">
        <v>2284</v>
      </c>
      <c r="B407" s="2" t="s">
        <v>2286</v>
      </c>
      <c r="C407" s="2" t="s">
        <v>342</v>
      </c>
    </row>
    <row r="408">
      <c r="A408" s="1" t="s">
        <v>2289</v>
      </c>
      <c r="B408" s="2" t="s">
        <v>2291</v>
      </c>
      <c r="C408" s="2" t="s">
        <v>1089</v>
      </c>
    </row>
    <row r="409">
      <c r="A409" s="1" t="s">
        <v>2294</v>
      </c>
      <c r="B409" s="2" t="s">
        <v>2296</v>
      </c>
      <c r="C409" s="2" t="s">
        <v>1089</v>
      </c>
    </row>
    <row r="410">
      <c r="A410" s="1" t="s">
        <v>2299</v>
      </c>
      <c r="B410" s="2" t="s">
        <v>2300</v>
      </c>
      <c r="C410" s="2" t="s">
        <v>1089</v>
      </c>
    </row>
    <row r="411">
      <c r="A411" s="1" t="s">
        <v>2304</v>
      </c>
      <c r="B411" s="2" t="s">
        <v>2306</v>
      </c>
      <c r="C411" s="2" t="s">
        <v>762</v>
      </c>
    </row>
    <row r="412">
      <c r="A412" s="1" t="s">
        <v>2308</v>
      </c>
      <c r="B412" s="2" t="s">
        <v>2310</v>
      </c>
      <c r="C412" s="2" t="s">
        <v>10</v>
      </c>
    </row>
    <row r="413">
      <c r="A413" s="1" t="s">
        <v>2312</v>
      </c>
      <c r="B413" s="2" t="s">
        <v>2313</v>
      </c>
      <c r="C413" s="2" t="s">
        <v>1089</v>
      </c>
    </row>
    <row r="414">
      <c r="A414" s="1" t="s">
        <v>1352</v>
      </c>
      <c r="B414" s="2" t="s">
        <v>1355</v>
      </c>
      <c r="C414" s="2" t="s">
        <v>1343</v>
      </c>
    </row>
    <row r="415">
      <c r="A415" s="1" t="s">
        <v>2318</v>
      </c>
      <c r="B415" s="2" t="s">
        <v>2320</v>
      </c>
      <c r="C415" s="2" t="s">
        <v>1343</v>
      </c>
    </row>
    <row r="416">
      <c r="A416" s="1" t="s">
        <v>2321</v>
      </c>
      <c r="B416" s="2" t="s">
        <v>2322</v>
      </c>
      <c r="C416" s="2" t="s">
        <v>1343</v>
      </c>
    </row>
    <row r="417">
      <c r="A417" s="1" t="s">
        <v>2323</v>
      </c>
      <c r="B417" s="2" t="s">
        <v>2325</v>
      </c>
      <c r="C417" s="2" t="s">
        <v>1343</v>
      </c>
    </row>
    <row r="418">
      <c r="A418" s="1" t="s">
        <v>2326</v>
      </c>
      <c r="B418" s="2" t="s">
        <v>2328</v>
      </c>
      <c r="C418" s="2" t="s">
        <v>781</v>
      </c>
    </row>
    <row r="419">
      <c r="A419" s="1" t="s">
        <v>2331</v>
      </c>
      <c r="B419" s="2" t="s">
        <v>2333</v>
      </c>
      <c r="C419" s="2" t="s">
        <v>781</v>
      </c>
    </row>
    <row r="420">
      <c r="A420" s="1" t="s">
        <v>2337</v>
      </c>
      <c r="B420" s="2" t="s">
        <v>2338</v>
      </c>
      <c r="C420" s="2" t="s">
        <v>781</v>
      </c>
    </row>
    <row r="421">
      <c r="A421" s="1" t="s">
        <v>2341</v>
      </c>
      <c r="B421" s="2" t="s">
        <v>2342</v>
      </c>
      <c r="C421" s="2" t="s">
        <v>781</v>
      </c>
    </row>
    <row r="422">
      <c r="A422" s="1" t="s">
        <v>2348</v>
      </c>
      <c r="B422" s="2" t="s">
        <v>2351</v>
      </c>
      <c r="C422" s="2" t="s">
        <v>10</v>
      </c>
    </row>
    <row r="423">
      <c r="A423" s="1" t="s">
        <v>1009</v>
      </c>
      <c r="B423" s="2" t="s">
        <v>1010</v>
      </c>
      <c r="C423" s="2" t="s">
        <v>716</v>
      </c>
    </row>
    <row r="424">
      <c r="A424" s="1" t="s">
        <v>2358</v>
      </c>
      <c r="B424" s="2" t="s">
        <v>2359</v>
      </c>
      <c r="C424" s="2" t="s">
        <v>716</v>
      </c>
    </row>
    <row r="425">
      <c r="A425" s="1" t="s">
        <v>2363</v>
      </c>
      <c r="B425" s="2" t="s">
        <v>2365</v>
      </c>
      <c r="C425" s="2" t="s">
        <v>738</v>
      </c>
    </row>
    <row r="426">
      <c r="A426" s="1" t="s">
        <v>2368</v>
      </c>
      <c r="B426" s="2" t="s">
        <v>2369</v>
      </c>
      <c r="C426" s="2" t="s">
        <v>738</v>
      </c>
    </row>
    <row r="427">
      <c r="A427" s="1" t="s">
        <v>2370</v>
      </c>
      <c r="B427" s="2" t="s">
        <v>2371</v>
      </c>
      <c r="C427" s="2" t="s">
        <v>909</v>
      </c>
    </row>
    <row r="428">
      <c r="A428" s="1" t="s">
        <v>2372</v>
      </c>
      <c r="B428" s="2" t="s">
        <v>2373</v>
      </c>
      <c r="C428" s="2" t="s">
        <v>1348</v>
      </c>
    </row>
    <row r="429">
      <c r="A429" s="1" t="s">
        <v>2374</v>
      </c>
      <c r="B429" s="2" t="s">
        <v>2375</v>
      </c>
      <c r="C429" s="2" t="s">
        <v>1348</v>
      </c>
    </row>
    <row r="430">
      <c r="A430" s="1" t="s">
        <v>2376</v>
      </c>
      <c r="B430" s="2" t="s">
        <v>2377</v>
      </c>
      <c r="C430" s="2" t="s">
        <v>1348</v>
      </c>
    </row>
    <row r="431">
      <c r="A431" s="1" t="s">
        <v>2378</v>
      </c>
      <c r="B431" s="2" t="s">
        <v>2379</v>
      </c>
      <c r="C431" s="2" t="s">
        <v>1410</v>
      </c>
    </row>
    <row r="432">
      <c r="A432" s="1" t="s">
        <v>2380</v>
      </c>
      <c r="B432" s="2" t="s">
        <v>2381</v>
      </c>
      <c r="C432" s="2" t="s">
        <v>716</v>
      </c>
    </row>
    <row r="433">
      <c r="A433" s="1" t="s">
        <v>2382</v>
      </c>
      <c r="B433" s="2" t="s">
        <v>2383</v>
      </c>
      <c r="C433" s="2" t="s">
        <v>1410</v>
      </c>
    </row>
    <row r="434">
      <c r="A434" s="1" t="s">
        <v>2384</v>
      </c>
      <c r="B434" s="2" t="s">
        <v>2385</v>
      </c>
      <c r="C434" s="2" t="s">
        <v>1410</v>
      </c>
    </row>
    <row r="435">
      <c r="A435" s="1" t="s">
        <v>2386</v>
      </c>
      <c r="B435" s="2" t="s">
        <v>2387</v>
      </c>
      <c r="C435" s="2" t="s">
        <v>909</v>
      </c>
    </row>
    <row r="436">
      <c r="A436" s="1" t="s">
        <v>2388</v>
      </c>
      <c r="B436" s="2" t="s">
        <v>2389</v>
      </c>
      <c r="C436" s="2" t="s">
        <v>738</v>
      </c>
    </row>
    <row r="437">
      <c r="A437" s="1" t="s">
        <v>2390</v>
      </c>
      <c r="B437" s="2" t="s">
        <v>2391</v>
      </c>
      <c r="C437" s="2" t="s">
        <v>1410</v>
      </c>
    </row>
    <row r="438">
      <c r="A438" s="1" t="s">
        <v>2392</v>
      </c>
      <c r="B438" s="2" t="s">
        <v>2393</v>
      </c>
      <c r="C438" s="2" t="s">
        <v>909</v>
      </c>
    </row>
    <row r="439">
      <c r="A439" s="1" t="s">
        <v>2394</v>
      </c>
      <c r="B439" s="2" t="s">
        <v>2395</v>
      </c>
      <c r="C439" s="2" t="s">
        <v>909</v>
      </c>
    </row>
    <row r="440">
      <c r="A440" s="1" t="s">
        <v>2396</v>
      </c>
      <c r="B440" s="2" t="s">
        <v>2397</v>
      </c>
      <c r="C440" s="2" t="s">
        <v>716</v>
      </c>
    </row>
    <row r="441">
      <c r="A441" s="1" t="s">
        <v>923</v>
      </c>
      <c r="B441" s="2" t="s">
        <v>925</v>
      </c>
      <c r="C441" s="2" t="s">
        <v>909</v>
      </c>
    </row>
    <row r="442">
      <c r="A442" s="1" t="s">
        <v>2398</v>
      </c>
      <c r="B442" s="2" t="s">
        <v>2399</v>
      </c>
      <c r="C442" s="2" t="s">
        <v>738</v>
      </c>
    </row>
    <row r="443">
      <c r="A443" s="1" t="s">
        <v>2400</v>
      </c>
      <c r="B443" s="2" t="s">
        <v>2401</v>
      </c>
      <c r="C443" s="2" t="s">
        <v>716</v>
      </c>
    </row>
    <row r="444">
      <c r="A444" s="1" t="s">
        <v>1013</v>
      </c>
      <c r="B444" s="2" t="s">
        <v>1015</v>
      </c>
      <c r="C444" s="2" t="s">
        <v>716</v>
      </c>
    </row>
    <row r="445">
      <c r="A445" s="1" t="s">
        <v>2402</v>
      </c>
      <c r="B445" s="2" t="s">
        <v>2403</v>
      </c>
      <c r="C445" s="2" t="s">
        <v>738</v>
      </c>
    </row>
    <row r="446">
      <c r="A446" s="1" t="s">
        <v>2404</v>
      </c>
      <c r="B446" s="2" t="s">
        <v>2405</v>
      </c>
      <c r="C446" s="2" t="s">
        <v>1410</v>
      </c>
    </row>
    <row r="447">
      <c r="A447" s="1" t="s">
        <v>2406</v>
      </c>
      <c r="B447" s="2" t="s">
        <v>2407</v>
      </c>
      <c r="C447" s="2" t="s">
        <v>738</v>
      </c>
    </row>
    <row r="448">
      <c r="A448" s="1" t="s">
        <v>1661</v>
      </c>
      <c r="B448" s="2" t="s">
        <v>1662</v>
      </c>
      <c r="C448" s="2" t="s">
        <v>1647</v>
      </c>
    </row>
    <row r="449">
      <c r="A449" s="1" t="s">
        <v>2408</v>
      </c>
      <c r="B449" s="2" t="s">
        <v>2409</v>
      </c>
      <c r="C449" s="2" t="s">
        <v>1647</v>
      </c>
    </row>
    <row r="450">
      <c r="A450" s="1" t="s">
        <v>2410</v>
      </c>
      <c r="B450" s="2" t="s">
        <v>2411</v>
      </c>
      <c r="C450" s="2" t="s">
        <v>1647</v>
      </c>
    </row>
    <row r="451">
      <c r="A451" s="1" t="s">
        <v>2412</v>
      </c>
      <c r="B451" s="2" t="s">
        <v>2413</v>
      </c>
      <c r="C451" s="2" t="s">
        <v>944</v>
      </c>
    </row>
    <row r="452">
      <c r="A452" s="1" t="s">
        <v>546</v>
      </c>
      <c r="B452" s="2" t="s">
        <v>547</v>
      </c>
      <c r="C452" s="2" t="s">
        <v>536</v>
      </c>
    </row>
    <row r="453">
      <c r="A453" s="1" t="s">
        <v>2414</v>
      </c>
      <c r="B453" s="2" t="s">
        <v>2415</v>
      </c>
      <c r="C453" s="2" t="s">
        <v>729</v>
      </c>
    </row>
    <row r="454">
      <c r="A454" s="1" t="s">
        <v>2416</v>
      </c>
      <c r="B454" s="2" t="s">
        <v>2417</v>
      </c>
      <c r="C454" s="2" t="s">
        <v>729</v>
      </c>
    </row>
    <row r="455">
      <c r="A455" s="1" t="s">
        <v>2418</v>
      </c>
      <c r="B455" s="2" t="s">
        <v>2419</v>
      </c>
      <c r="C455" s="2" t="s">
        <v>729</v>
      </c>
    </row>
    <row r="456">
      <c r="A456" s="1" t="s">
        <v>2420</v>
      </c>
      <c r="B456" s="2" t="s">
        <v>2421</v>
      </c>
      <c r="C456" s="2" t="s">
        <v>729</v>
      </c>
    </row>
    <row r="457">
      <c r="A457" s="1" t="s">
        <v>2422</v>
      </c>
      <c r="B457" s="2" t="s">
        <v>2423</v>
      </c>
      <c r="C457" s="2" t="s">
        <v>1647</v>
      </c>
    </row>
    <row r="458">
      <c r="A458" s="1" t="s">
        <v>2424</v>
      </c>
      <c r="B458" s="2" t="s">
        <v>2425</v>
      </c>
      <c r="C458" s="2" t="s">
        <v>1647</v>
      </c>
    </row>
    <row r="459">
      <c r="A459" s="1" t="s">
        <v>2426</v>
      </c>
      <c r="B459" s="2" t="s">
        <v>2427</v>
      </c>
      <c r="C459" s="2" t="s">
        <v>1993</v>
      </c>
    </row>
    <row r="460">
      <c r="A460" s="1" t="s">
        <v>2428</v>
      </c>
      <c r="B460" s="2" t="s">
        <v>2429</v>
      </c>
      <c r="C460" s="2" t="s">
        <v>1606</v>
      </c>
    </row>
    <row r="461">
      <c r="A461" s="1" t="s">
        <v>2430</v>
      </c>
      <c r="B461" s="2" t="s">
        <v>2431</v>
      </c>
      <c r="C461" s="2" t="s">
        <v>1993</v>
      </c>
    </row>
    <row r="462">
      <c r="A462" s="1" t="s">
        <v>2432</v>
      </c>
      <c r="B462" s="2" t="s">
        <v>2433</v>
      </c>
      <c r="C462" s="2" t="s">
        <v>1606</v>
      </c>
    </row>
    <row r="463">
      <c r="A463" s="1" t="s">
        <v>2434</v>
      </c>
      <c r="B463" s="2" t="s">
        <v>2435</v>
      </c>
      <c r="C463" s="2" t="s">
        <v>944</v>
      </c>
    </row>
    <row r="464">
      <c r="A464" s="1" t="s">
        <v>2436</v>
      </c>
      <c r="B464" s="2" t="s">
        <v>2437</v>
      </c>
      <c r="C464" s="2" t="s">
        <v>1993</v>
      </c>
    </row>
    <row r="465">
      <c r="A465" s="1" t="s">
        <v>2439</v>
      </c>
      <c r="B465" s="2" t="s">
        <v>2440</v>
      </c>
      <c r="C465" s="2" t="s">
        <v>944</v>
      </c>
    </row>
    <row r="466">
      <c r="A466" s="1" t="s">
        <v>2441</v>
      </c>
      <c r="B466" s="2" t="s">
        <v>2442</v>
      </c>
      <c r="C466" s="2" t="s">
        <v>944</v>
      </c>
    </row>
    <row r="467">
      <c r="A467" s="1" t="s">
        <v>2445</v>
      </c>
      <c r="B467" s="2" t="s">
        <v>2446</v>
      </c>
      <c r="C467" s="2" t="s">
        <v>944</v>
      </c>
    </row>
    <row r="468">
      <c r="A468" s="1" t="s">
        <v>2449</v>
      </c>
      <c r="B468" s="2" t="s">
        <v>2452</v>
      </c>
      <c r="C468" s="2" t="s">
        <v>944</v>
      </c>
    </row>
    <row r="469">
      <c r="A469" s="1" t="s">
        <v>2456</v>
      </c>
      <c r="B469" s="2" t="s">
        <v>2457</v>
      </c>
      <c r="C469" s="2" t="s">
        <v>536</v>
      </c>
    </row>
    <row r="470">
      <c r="A470" s="1" t="s">
        <v>2460</v>
      </c>
      <c r="B470" s="2" t="s">
        <v>2462</v>
      </c>
      <c r="C470" s="2" t="s">
        <v>536</v>
      </c>
    </row>
    <row r="471">
      <c r="A471" s="1" t="s">
        <v>217</v>
      </c>
      <c r="B471" s="2" t="s">
        <v>2467</v>
      </c>
      <c r="C471" s="2" t="s">
        <v>536</v>
      </c>
    </row>
    <row r="472">
      <c r="A472" s="1" t="s">
        <v>2470</v>
      </c>
      <c r="B472" s="2" t="s">
        <v>2471</v>
      </c>
      <c r="C472" s="2" t="s">
        <v>944</v>
      </c>
    </row>
    <row r="473">
      <c r="A473" s="1" t="s">
        <v>2474</v>
      </c>
      <c r="B473" s="2" t="s">
        <v>2476</v>
      </c>
      <c r="C473" s="2" t="s">
        <v>1606</v>
      </c>
    </row>
    <row r="474">
      <c r="A474" s="1" t="s">
        <v>1073</v>
      </c>
      <c r="B474" s="2" t="s">
        <v>1075</v>
      </c>
      <c r="C474" s="2" t="s">
        <v>1076</v>
      </c>
    </row>
    <row r="475">
      <c r="A475" s="1" t="s">
        <v>2483</v>
      </c>
      <c r="B475" s="2" t="s">
        <v>2484</v>
      </c>
      <c r="C475" s="2" t="s">
        <v>1076</v>
      </c>
    </row>
    <row r="476">
      <c r="A476" s="1" t="s">
        <v>1747</v>
      </c>
      <c r="B476" s="2" t="s">
        <v>1748</v>
      </c>
      <c r="C476" s="2" t="s">
        <v>1014</v>
      </c>
    </row>
    <row r="477">
      <c r="A477" s="1" t="s">
        <v>2350</v>
      </c>
      <c r="B477" s="2" t="s">
        <v>2352</v>
      </c>
      <c r="C477" s="2" t="s">
        <v>2345</v>
      </c>
    </row>
    <row r="478">
      <c r="A478" s="1" t="s">
        <v>2490</v>
      </c>
      <c r="B478" s="2" t="s">
        <v>2491</v>
      </c>
      <c r="C478" s="2" t="s">
        <v>1435</v>
      </c>
    </row>
    <row r="479">
      <c r="A479" s="1" t="s">
        <v>2495</v>
      </c>
      <c r="B479" s="2" t="s">
        <v>2497</v>
      </c>
      <c r="C479" s="2" t="s">
        <v>2345</v>
      </c>
    </row>
    <row r="480">
      <c r="A480" s="1" t="s">
        <v>2500</v>
      </c>
      <c r="B480" s="2" t="s">
        <v>2501</v>
      </c>
      <c r="C480" s="2" t="s">
        <v>1014</v>
      </c>
    </row>
    <row r="481">
      <c r="A481" s="1" t="s">
        <v>2504</v>
      </c>
      <c r="B481" s="2" t="s">
        <v>2505</v>
      </c>
      <c r="C481" s="2" t="s">
        <v>2139</v>
      </c>
    </row>
    <row r="482">
      <c r="A482" s="1" t="s">
        <v>2507</v>
      </c>
      <c r="B482" s="2" t="s">
        <v>2510</v>
      </c>
      <c r="C482" s="2" t="s">
        <v>67</v>
      </c>
    </row>
    <row r="483">
      <c r="A483" s="1" t="s">
        <v>1750</v>
      </c>
      <c r="B483" s="2" t="s">
        <v>1752</v>
      </c>
      <c r="C483" s="2" t="s">
        <v>1014</v>
      </c>
    </row>
    <row r="484">
      <c r="A484" s="1" t="s">
        <v>2513</v>
      </c>
      <c r="B484" s="2" t="s">
        <v>2514</v>
      </c>
      <c r="C484" s="2" t="s">
        <v>2139</v>
      </c>
    </row>
    <row r="485">
      <c r="A485" s="1" t="s">
        <v>2519</v>
      </c>
      <c r="B485" s="2" t="s">
        <v>2520</v>
      </c>
      <c r="C485" s="2" t="s">
        <v>2345</v>
      </c>
    </row>
    <row r="486">
      <c r="A486" s="1" t="s">
        <v>2523</v>
      </c>
      <c r="B486" s="2" t="s">
        <v>2524</v>
      </c>
      <c r="C486" s="2" t="s">
        <v>1014</v>
      </c>
    </row>
    <row r="487">
      <c r="A487" s="1" t="s">
        <v>2528</v>
      </c>
      <c r="B487" s="2" t="s">
        <v>2530</v>
      </c>
      <c r="C487" s="2" t="s">
        <v>1435</v>
      </c>
    </row>
    <row r="488">
      <c r="A488" s="1" t="s">
        <v>2533</v>
      </c>
      <c r="B488" s="2" t="s">
        <v>2534</v>
      </c>
      <c r="C488" s="2" t="s">
        <v>67</v>
      </c>
    </row>
    <row r="489">
      <c r="A489" s="1" t="s">
        <v>2144</v>
      </c>
      <c r="B489" s="2" t="s">
        <v>2145</v>
      </c>
      <c r="C489" s="2" t="s">
        <v>2139</v>
      </c>
    </row>
    <row r="490">
      <c r="A490" s="1" t="s">
        <v>1085</v>
      </c>
      <c r="B490" s="2" t="s">
        <v>1086</v>
      </c>
      <c r="C490" s="2" t="s">
        <v>1076</v>
      </c>
    </row>
    <row r="491">
      <c r="A491" s="1" t="s">
        <v>1631</v>
      </c>
      <c r="B491" s="2" t="s">
        <v>2542</v>
      </c>
      <c r="C491" s="2" t="s">
        <v>1435</v>
      </c>
    </row>
    <row r="492">
      <c r="A492" s="1" t="s">
        <v>1547</v>
      </c>
      <c r="B492" s="2" t="s">
        <v>2546</v>
      </c>
      <c r="C492" s="2" t="s">
        <v>2547</v>
      </c>
    </row>
    <row r="493">
      <c r="A493" s="1" t="s">
        <v>2549</v>
      </c>
      <c r="B493" s="2" t="s">
        <v>2550</v>
      </c>
      <c r="C493" s="2" t="s">
        <v>998</v>
      </c>
    </row>
    <row r="494">
      <c r="A494" s="1" t="s">
        <v>2554</v>
      </c>
      <c r="B494" s="2" t="s">
        <v>2555</v>
      </c>
      <c r="C494" s="2" t="s">
        <v>2547</v>
      </c>
    </row>
    <row r="495">
      <c r="A495" s="1" t="s">
        <v>2559</v>
      </c>
      <c r="B495" s="2" t="s">
        <v>2561</v>
      </c>
      <c r="C495" s="2" t="s">
        <v>1116</v>
      </c>
    </row>
    <row r="496">
      <c r="A496" s="1" t="s">
        <v>2564</v>
      </c>
      <c r="B496" s="2" t="s">
        <v>2565</v>
      </c>
      <c r="C496" s="2" t="s">
        <v>1116</v>
      </c>
    </row>
    <row r="497">
      <c r="A497" s="1" t="s">
        <v>2568</v>
      </c>
      <c r="B497" s="2" t="s">
        <v>2569</v>
      </c>
      <c r="C497" s="2" t="s">
        <v>2571</v>
      </c>
    </row>
    <row r="498">
      <c r="A498" s="1" t="s">
        <v>2573</v>
      </c>
      <c r="B498" s="2" t="s">
        <v>2574</v>
      </c>
      <c r="C498" s="2" t="s">
        <v>63</v>
      </c>
    </row>
    <row r="499">
      <c r="A499" s="1" t="s">
        <v>2577</v>
      </c>
      <c r="B499" s="2" t="s">
        <v>2579</v>
      </c>
      <c r="C499" s="2" t="s">
        <v>63</v>
      </c>
    </row>
    <row r="500">
      <c r="A500" s="1" t="s">
        <v>2582</v>
      </c>
      <c r="B500" s="2" t="s">
        <v>2584</v>
      </c>
      <c r="C500" s="2" t="s">
        <v>1545</v>
      </c>
    </row>
    <row r="501">
      <c r="A501" s="1" t="s">
        <v>2586</v>
      </c>
      <c r="B501" s="2" t="s">
        <v>2588</v>
      </c>
      <c r="C501" s="2" t="s">
        <v>998</v>
      </c>
    </row>
    <row r="502">
      <c r="A502" s="1" t="s">
        <v>1500</v>
      </c>
      <c r="B502" s="2" t="s">
        <v>2591</v>
      </c>
      <c r="C502" s="2" t="s">
        <v>2547</v>
      </c>
    </row>
    <row r="503">
      <c r="A503" s="1" t="s">
        <v>2594</v>
      </c>
      <c r="B503" s="2" t="s">
        <v>2595</v>
      </c>
      <c r="C503" s="2" t="s">
        <v>1545</v>
      </c>
    </row>
    <row r="504">
      <c r="A504" s="1" t="s">
        <v>2598</v>
      </c>
      <c r="B504" s="2" t="s">
        <v>2599</v>
      </c>
      <c r="C504" s="2" t="s">
        <v>998</v>
      </c>
    </row>
    <row r="505">
      <c r="A505" s="1" t="s">
        <v>2602</v>
      </c>
      <c r="B505" s="2" t="s">
        <v>2604</v>
      </c>
      <c r="C505" s="2" t="s">
        <v>998</v>
      </c>
    </row>
    <row r="506">
      <c r="A506" s="11" t="s">
        <v>2607</v>
      </c>
      <c r="B506" s="2" t="s">
        <v>2609</v>
      </c>
      <c r="C506" s="2" t="s">
        <v>1384</v>
      </c>
    </row>
    <row r="507">
      <c r="A507" s="1" t="s">
        <v>2612</v>
      </c>
      <c r="B507" s="2" t="s">
        <v>2613</v>
      </c>
      <c r="C507" s="2" t="s">
        <v>1384</v>
      </c>
    </row>
    <row r="508">
      <c r="A508" s="1" t="s">
        <v>730</v>
      </c>
      <c r="B508" s="2" t="s">
        <v>2617</v>
      </c>
      <c r="C508" s="2" t="s">
        <v>1384</v>
      </c>
    </row>
    <row r="509">
      <c r="A509" s="1" t="s">
        <v>424</v>
      </c>
      <c r="B509" s="2" t="s">
        <v>2620</v>
      </c>
      <c r="C509" s="2" t="s">
        <v>1107</v>
      </c>
    </row>
    <row r="510">
      <c r="A510" s="1" t="s">
        <v>2623</v>
      </c>
      <c r="B510" s="2" t="s">
        <v>2625</v>
      </c>
      <c r="C510" s="2" t="s">
        <v>679</v>
      </c>
    </row>
    <row r="511">
      <c r="A511" s="1" t="s">
        <v>2628</v>
      </c>
      <c r="B511" s="2" t="s">
        <v>2629</v>
      </c>
      <c r="C511" s="2" t="s">
        <v>1384</v>
      </c>
    </row>
    <row r="512">
      <c r="A512" s="1" t="s">
        <v>2632</v>
      </c>
      <c r="B512" s="2" t="s">
        <v>2633</v>
      </c>
      <c r="C512" s="2" t="s">
        <v>1384</v>
      </c>
    </row>
    <row r="513">
      <c r="A513" s="1" t="s">
        <v>2636</v>
      </c>
      <c r="B513" s="2" t="s">
        <v>2638</v>
      </c>
      <c r="C513" s="2" t="s">
        <v>1384</v>
      </c>
    </row>
    <row r="514">
      <c r="A514" s="1" t="s">
        <v>2640</v>
      </c>
      <c r="B514" s="2" t="s">
        <v>2641</v>
      </c>
      <c r="C514" s="2" t="s">
        <v>1107</v>
      </c>
    </row>
    <row r="515">
      <c r="A515" s="1" t="s">
        <v>2644</v>
      </c>
      <c r="B515" s="2" t="s">
        <v>2645</v>
      </c>
      <c r="C515" s="2" t="s">
        <v>1107</v>
      </c>
    </row>
    <row r="516">
      <c r="A516" s="1" t="s">
        <v>2649</v>
      </c>
      <c r="B516" s="2" t="s">
        <v>2651</v>
      </c>
      <c r="C516" s="2" t="s">
        <v>1107</v>
      </c>
    </row>
    <row r="517">
      <c r="A517" s="1" t="s">
        <v>2654</v>
      </c>
      <c r="B517" s="2" t="s">
        <v>2655</v>
      </c>
      <c r="C517" s="2" t="s">
        <v>1025</v>
      </c>
    </row>
    <row r="518">
      <c r="A518" s="1" t="s">
        <v>2659</v>
      </c>
      <c r="B518" s="2" t="s">
        <v>2661</v>
      </c>
      <c r="C518" s="2" t="s">
        <v>1025</v>
      </c>
    </row>
    <row r="519">
      <c r="A519" s="1" t="s">
        <v>2664</v>
      </c>
      <c r="B519" s="2" t="s">
        <v>2665</v>
      </c>
      <c r="C519" s="2" t="s">
        <v>1025</v>
      </c>
    </row>
    <row r="520">
      <c r="A520" s="1" t="s">
        <v>2666</v>
      </c>
      <c r="B520" s="2" t="s">
        <v>2667</v>
      </c>
      <c r="C520" s="2" t="s">
        <v>1025</v>
      </c>
    </row>
    <row r="521">
      <c r="A521" s="1" t="s">
        <v>2668</v>
      </c>
      <c r="B521" s="2" t="s">
        <v>2669</v>
      </c>
      <c r="C521" s="2" t="s">
        <v>1025</v>
      </c>
    </row>
    <row r="522">
      <c r="A522" s="1" t="s">
        <v>2670</v>
      </c>
      <c r="B522" s="2" t="s">
        <v>2672</v>
      </c>
      <c r="C522" s="2" t="s">
        <v>1025</v>
      </c>
    </row>
    <row r="523">
      <c r="A523" s="1" t="s">
        <v>2675</v>
      </c>
      <c r="B523" s="2" t="s">
        <v>2677</v>
      </c>
      <c r="C523" s="2" t="s">
        <v>1392</v>
      </c>
    </row>
    <row r="524">
      <c r="A524" s="1" t="s">
        <v>2680</v>
      </c>
      <c r="B524" s="2" t="s">
        <v>2682</v>
      </c>
      <c r="C524" s="2" t="s">
        <v>1392</v>
      </c>
    </row>
    <row r="525">
      <c r="A525" s="1" t="s">
        <v>2685</v>
      </c>
      <c r="B525" s="2" t="s">
        <v>2687</v>
      </c>
      <c r="C525" s="2" t="s">
        <v>1392</v>
      </c>
    </row>
    <row r="526">
      <c r="A526" s="1" t="s">
        <v>2690</v>
      </c>
      <c r="B526" s="2" t="s">
        <v>2691</v>
      </c>
      <c r="C526" s="2" t="s">
        <v>2580</v>
      </c>
    </row>
    <row r="527">
      <c r="A527" s="1" t="s">
        <v>2694</v>
      </c>
      <c r="B527" s="2" t="s">
        <v>2696</v>
      </c>
      <c r="C527" s="2" t="s">
        <v>2580</v>
      </c>
    </row>
    <row r="528">
      <c r="A528" s="1" t="s">
        <v>2700</v>
      </c>
      <c r="B528" s="2" t="s">
        <v>2701</v>
      </c>
      <c r="C528" s="2" t="s">
        <v>2580</v>
      </c>
    </row>
    <row r="529">
      <c r="A529" s="1" t="s">
        <v>2704</v>
      </c>
      <c r="B529" s="2" t="s">
        <v>2705</v>
      </c>
      <c r="C529" s="2" t="s">
        <v>2086</v>
      </c>
    </row>
    <row r="530">
      <c r="A530" s="1" t="s">
        <v>2711</v>
      </c>
      <c r="B530" s="2" t="s">
        <v>2713</v>
      </c>
      <c r="C530" s="2" t="s">
        <v>2086</v>
      </c>
    </row>
    <row r="531">
      <c r="A531" s="1" t="s">
        <v>2716</v>
      </c>
      <c r="B531" s="2" t="s">
        <v>2718</v>
      </c>
      <c r="C531" s="2" t="s">
        <v>2086</v>
      </c>
    </row>
    <row r="532">
      <c r="A532" s="1" t="s">
        <v>2721</v>
      </c>
      <c r="B532" s="2" t="s">
        <v>2722</v>
      </c>
      <c r="C532" s="2" t="s">
        <v>679</v>
      </c>
    </row>
    <row r="533">
      <c r="A533" s="1" t="s">
        <v>170</v>
      </c>
      <c r="B533" s="2" t="s">
        <v>2728</v>
      </c>
      <c r="C533" s="2" t="s">
        <v>1025</v>
      </c>
    </row>
    <row r="534">
      <c r="A534" s="1" t="s">
        <v>235</v>
      </c>
      <c r="B534" s="2" t="s">
        <v>2731</v>
      </c>
      <c r="C534" s="2" t="s">
        <v>1392</v>
      </c>
    </row>
    <row r="535">
      <c r="A535" s="1" t="s">
        <v>2733</v>
      </c>
      <c r="B535" s="2" t="s">
        <v>2734</v>
      </c>
      <c r="C535" s="2" t="s">
        <v>679</v>
      </c>
    </row>
    <row r="536">
      <c r="A536" s="1" t="s">
        <v>156</v>
      </c>
      <c r="B536" s="2" t="s">
        <v>157</v>
      </c>
      <c r="C536" s="2" t="s">
        <v>135</v>
      </c>
    </row>
    <row r="537">
      <c r="A537" s="1" t="s">
        <v>90</v>
      </c>
      <c r="B537" s="2" t="s">
        <v>91</v>
      </c>
      <c r="C537" s="2" t="s">
        <v>73</v>
      </c>
    </row>
    <row r="538">
      <c r="A538" s="1" t="s">
        <v>2741</v>
      </c>
      <c r="B538" s="2" t="s">
        <v>2743</v>
      </c>
      <c r="C538" s="2" t="s">
        <v>17</v>
      </c>
    </row>
    <row r="539">
      <c r="A539" s="1" t="s">
        <v>112</v>
      </c>
      <c r="B539" s="2" t="s">
        <v>114</v>
      </c>
      <c r="C539" s="2" t="s">
        <v>17</v>
      </c>
    </row>
    <row r="540">
      <c r="A540" s="1" t="s">
        <v>116</v>
      </c>
      <c r="B540" s="2" t="s">
        <v>117</v>
      </c>
      <c r="C540" s="2" t="s">
        <v>17</v>
      </c>
    </row>
    <row r="541">
      <c r="A541" s="1" t="s">
        <v>2750</v>
      </c>
      <c r="B541" s="2" t="s">
        <v>2752</v>
      </c>
      <c r="C541" s="2" t="s">
        <v>135</v>
      </c>
    </row>
    <row r="542">
      <c r="A542" s="1" t="s">
        <v>93</v>
      </c>
      <c r="B542" s="2" t="s">
        <v>95</v>
      </c>
      <c r="C542" s="2" t="s">
        <v>73</v>
      </c>
    </row>
    <row r="543">
      <c r="A543" s="1" t="s">
        <v>119</v>
      </c>
      <c r="B543" s="2" t="s">
        <v>121</v>
      </c>
      <c r="C543" s="2" t="s">
        <v>17</v>
      </c>
    </row>
    <row r="544">
      <c r="A544" s="1" t="s">
        <v>2761</v>
      </c>
      <c r="B544" s="2" t="s">
        <v>2763</v>
      </c>
      <c r="C544" s="2" t="s">
        <v>17</v>
      </c>
    </row>
    <row r="545">
      <c r="A545" s="1" t="s">
        <v>2766</v>
      </c>
      <c r="B545" s="2" t="s">
        <v>2768</v>
      </c>
      <c r="C545" s="2" t="s">
        <v>135</v>
      </c>
    </row>
    <row r="546">
      <c r="A546" s="1" t="s">
        <v>2770</v>
      </c>
      <c r="B546" s="2" t="s">
        <v>2771</v>
      </c>
      <c r="C546" s="2" t="s">
        <v>73</v>
      </c>
    </row>
    <row r="547">
      <c r="A547" s="1" t="s">
        <v>122</v>
      </c>
      <c r="B547" s="2" t="s">
        <v>123</v>
      </c>
      <c r="C547" s="2" t="s">
        <v>17</v>
      </c>
    </row>
    <row r="548">
      <c r="A548" s="1" t="s">
        <v>127</v>
      </c>
      <c r="B548" s="2" t="s">
        <v>128</v>
      </c>
      <c r="C548" s="2" t="s">
        <v>17</v>
      </c>
    </row>
    <row r="549">
      <c r="A549" s="1" t="s">
        <v>2780</v>
      </c>
      <c r="B549" s="2" t="s">
        <v>2782</v>
      </c>
      <c r="C549" s="2" t="s">
        <v>17</v>
      </c>
    </row>
    <row r="550">
      <c r="A550" s="1" t="s">
        <v>2785</v>
      </c>
      <c r="B550" s="2" t="s">
        <v>2786</v>
      </c>
      <c r="C550" s="2" t="s">
        <v>73</v>
      </c>
    </row>
    <row r="551">
      <c r="A551" s="1" t="s">
        <v>129</v>
      </c>
      <c r="B551" s="2" t="s">
        <v>130</v>
      </c>
      <c r="C551" s="2" t="s">
        <v>17</v>
      </c>
    </row>
    <row r="552">
      <c r="A552" s="1" t="s">
        <v>96</v>
      </c>
      <c r="B552" s="2" t="s">
        <v>98</v>
      </c>
      <c r="C552" s="2" t="s">
        <v>73</v>
      </c>
    </row>
    <row r="553">
      <c r="A553" s="1" t="s">
        <v>2796</v>
      </c>
      <c r="B553" s="2" t="s">
        <v>2797</v>
      </c>
      <c r="C553" s="2" t="s">
        <v>73</v>
      </c>
    </row>
    <row r="554">
      <c r="A554" s="1" t="s">
        <v>101</v>
      </c>
      <c r="B554" s="2" t="s">
        <v>102</v>
      </c>
      <c r="C554" s="2" t="s">
        <v>73</v>
      </c>
    </row>
    <row r="555">
      <c r="A555" s="1" t="s">
        <v>2804</v>
      </c>
      <c r="B555" s="2" t="s">
        <v>2806</v>
      </c>
      <c r="C555" s="2" t="s">
        <v>238</v>
      </c>
    </row>
    <row r="556">
      <c r="A556" s="1" t="s">
        <v>2808</v>
      </c>
      <c r="B556" s="2" t="s">
        <v>2809</v>
      </c>
      <c r="C556" s="2" t="s">
        <v>238</v>
      </c>
    </row>
    <row r="557">
      <c r="A557" s="1" t="s">
        <v>2810</v>
      </c>
      <c r="B557" s="2" t="s">
        <v>2811</v>
      </c>
      <c r="C557" s="2" t="s">
        <v>283</v>
      </c>
    </row>
    <row r="558">
      <c r="A558" s="1" t="s">
        <v>1736</v>
      </c>
      <c r="B558" s="2" t="s">
        <v>2813</v>
      </c>
      <c r="C558" s="2" t="s">
        <v>24</v>
      </c>
    </row>
    <row r="559">
      <c r="A559" s="1" t="s">
        <v>2814</v>
      </c>
      <c r="B559" s="2" t="s">
        <v>2815</v>
      </c>
      <c r="C559" s="2" t="s">
        <v>24</v>
      </c>
    </row>
    <row r="560">
      <c r="A560" s="1" t="s">
        <v>2817</v>
      </c>
      <c r="B560" s="2" t="s">
        <v>2818</v>
      </c>
      <c r="C560" s="2" t="s">
        <v>24</v>
      </c>
    </row>
    <row r="561">
      <c r="A561" s="1" t="s">
        <v>2819</v>
      </c>
      <c r="B561" s="2" t="s">
        <v>2820</v>
      </c>
      <c r="C561" s="2" t="s">
        <v>283</v>
      </c>
    </row>
    <row r="562">
      <c r="A562" s="1" t="s">
        <v>2821</v>
      </c>
      <c r="B562" s="2" t="s">
        <v>2823</v>
      </c>
      <c r="C562" s="2" t="s">
        <v>283</v>
      </c>
    </row>
    <row r="563">
      <c r="A563" s="1" t="s">
        <v>297</v>
      </c>
      <c r="B563" s="2" t="s">
        <v>298</v>
      </c>
      <c r="C563" s="2" t="s">
        <v>283</v>
      </c>
    </row>
    <row r="564">
      <c r="A564" s="1" t="s">
        <v>2824</v>
      </c>
      <c r="B564" s="2" t="s">
        <v>2825</v>
      </c>
      <c r="C564" s="2" t="s">
        <v>1049</v>
      </c>
    </row>
    <row r="565">
      <c r="A565" s="1" t="s">
        <v>2827</v>
      </c>
      <c r="B565" s="2" t="s">
        <v>2828</v>
      </c>
      <c r="C565" s="2" t="s">
        <v>1049</v>
      </c>
    </row>
    <row r="566">
      <c r="A566" s="1" t="s">
        <v>2829</v>
      </c>
      <c r="B566" s="2" t="s">
        <v>2830</v>
      </c>
      <c r="C566" s="2" t="s">
        <v>283</v>
      </c>
    </row>
    <row r="567">
      <c r="A567" s="1" t="s">
        <v>2832</v>
      </c>
      <c r="B567" s="2" t="s">
        <v>2833</v>
      </c>
      <c r="C567" s="2" t="s">
        <v>1066</v>
      </c>
    </row>
    <row r="568">
      <c r="A568" s="1" t="s">
        <v>2834</v>
      </c>
      <c r="B568" s="2" t="s">
        <v>2835</v>
      </c>
      <c r="C568" s="2" t="s">
        <v>1066</v>
      </c>
    </row>
    <row r="569">
      <c r="A569" s="1" t="s">
        <v>2837</v>
      </c>
      <c r="B569" s="2" t="s">
        <v>2838</v>
      </c>
      <c r="C569" s="2" t="s">
        <v>1248</v>
      </c>
    </row>
    <row r="570">
      <c r="A570" s="1" t="s">
        <v>2840</v>
      </c>
      <c r="B570" s="2" t="s">
        <v>2841</v>
      </c>
      <c r="C570" s="2" t="s">
        <v>1049</v>
      </c>
    </row>
    <row r="571">
      <c r="A571" s="1" t="s">
        <v>2842</v>
      </c>
      <c r="B571" s="2" t="s">
        <v>2844</v>
      </c>
      <c r="C571" s="2" t="s">
        <v>1248</v>
      </c>
    </row>
    <row r="572">
      <c r="A572" s="1" t="s">
        <v>2845</v>
      </c>
      <c r="B572" s="2" t="s">
        <v>2846</v>
      </c>
      <c r="C572" s="2" t="s">
        <v>1248</v>
      </c>
    </row>
    <row r="573">
      <c r="A573" s="1" t="s">
        <v>2847</v>
      </c>
      <c r="B573" s="2" t="s">
        <v>2848</v>
      </c>
      <c r="C573" s="2" t="s">
        <v>1851</v>
      </c>
    </row>
    <row r="574">
      <c r="A574" s="1" t="s">
        <v>2850</v>
      </c>
      <c r="B574" s="2" t="s">
        <v>2851</v>
      </c>
      <c r="C574" s="2" t="s">
        <v>1851</v>
      </c>
    </row>
    <row r="575">
      <c r="A575" s="1" t="s">
        <v>2852</v>
      </c>
      <c r="B575" s="2" t="s">
        <v>2853</v>
      </c>
      <c r="C575" s="2" t="s">
        <v>1851</v>
      </c>
    </row>
    <row r="576">
      <c r="A576" s="1" t="s">
        <v>2854</v>
      </c>
      <c r="B576" s="2" t="s">
        <v>2855</v>
      </c>
      <c r="C576" s="2" t="s">
        <v>1049</v>
      </c>
    </row>
    <row r="577">
      <c r="A577" s="1" t="s">
        <v>2857</v>
      </c>
      <c r="B577" s="2" t="s">
        <v>2858</v>
      </c>
      <c r="C577" s="2" t="s">
        <v>1066</v>
      </c>
    </row>
    <row r="578">
      <c r="A578" s="1" t="s">
        <v>2859</v>
      </c>
      <c r="B578" s="2" t="s">
        <v>2860</v>
      </c>
      <c r="C578" s="2" t="s">
        <v>21</v>
      </c>
    </row>
    <row r="579">
      <c r="A579" s="1" t="s">
        <v>2861</v>
      </c>
      <c r="B579" s="2" t="s">
        <v>2862</v>
      </c>
      <c r="C579" s="2" t="s">
        <v>21</v>
      </c>
    </row>
    <row r="580">
      <c r="A580" s="1" t="s">
        <v>2864</v>
      </c>
      <c r="B580" s="2" t="s">
        <v>2865</v>
      </c>
      <c r="C580" s="2" t="s">
        <v>24</v>
      </c>
    </row>
    <row r="581">
      <c r="A581" s="1" t="s">
        <v>2866</v>
      </c>
      <c r="B581" s="2" t="s">
        <v>2867</v>
      </c>
      <c r="C581" s="2" t="s">
        <v>24</v>
      </c>
    </row>
    <row r="582">
      <c r="A582" s="1" t="s">
        <v>2868</v>
      </c>
      <c r="B582" s="2" t="s">
        <v>2869</v>
      </c>
      <c r="C582" s="2" t="s">
        <v>21</v>
      </c>
    </row>
    <row r="583">
      <c r="A583" s="1" t="s">
        <v>2871</v>
      </c>
      <c r="B583" s="2" t="s">
        <v>2872</v>
      </c>
      <c r="C583" s="2" t="s">
        <v>21</v>
      </c>
    </row>
    <row r="584">
      <c r="A584" s="1" t="s">
        <v>2873</v>
      </c>
      <c r="B584" s="2" t="s">
        <v>2874</v>
      </c>
      <c r="C584" s="2" t="s">
        <v>1891</v>
      </c>
    </row>
    <row r="585">
      <c r="A585" s="1" t="s">
        <v>2875</v>
      </c>
      <c r="B585" s="2" t="s">
        <v>2876</v>
      </c>
      <c r="C585" s="2" t="s">
        <v>1891</v>
      </c>
    </row>
    <row r="586">
      <c r="A586" s="1" t="s">
        <v>2877</v>
      </c>
      <c r="B586" s="2" t="s">
        <v>2878</v>
      </c>
      <c r="C586" s="2" t="s">
        <v>1057</v>
      </c>
    </row>
    <row r="587">
      <c r="A587" s="1" t="s">
        <v>2880</v>
      </c>
      <c r="B587" s="2" t="s">
        <v>2881</v>
      </c>
      <c r="C587" s="2" t="s">
        <v>1891</v>
      </c>
    </row>
    <row r="588">
      <c r="A588" s="1" t="s">
        <v>2882</v>
      </c>
      <c r="B588" s="2" t="s">
        <v>2883</v>
      </c>
      <c r="C588" s="2" t="s">
        <v>1891</v>
      </c>
    </row>
    <row r="589">
      <c r="A589" s="1" t="s">
        <v>2884</v>
      </c>
      <c r="B589" s="2" t="s">
        <v>2886</v>
      </c>
      <c r="C589" s="2" t="s">
        <v>1057</v>
      </c>
    </row>
    <row r="590">
      <c r="A590" s="1" t="s">
        <v>2887</v>
      </c>
      <c r="B590" s="2" t="s">
        <v>2888</v>
      </c>
      <c r="C590" s="2" t="s">
        <v>1057</v>
      </c>
    </row>
    <row r="591">
      <c r="A591" s="1" t="s">
        <v>2889</v>
      </c>
      <c r="B591" s="2" t="s">
        <v>2890</v>
      </c>
      <c r="C591" s="2" t="s">
        <v>1057</v>
      </c>
    </row>
    <row r="592">
      <c r="A592" s="1" t="s">
        <v>2892</v>
      </c>
      <c r="B592" s="2" t="s">
        <v>2893</v>
      </c>
      <c r="C592" s="2" t="s">
        <v>1851</v>
      </c>
    </row>
    <row r="593">
      <c r="A593" s="1" t="s">
        <v>2894</v>
      </c>
      <c r="B593" s="2" t="s">
        <v>2895</v>
      </c>
      <c r="C593" s="2" t="s">
        <v>21</v>
      </c>
    </row>
    <row r="594">
      <c r="A594" s="1" t="s">
        <v>2896</v>
      </c>
      <c r="B594" s="2" t="s">
        <v>2897</v>
      </c>
      <c r="C594" s="2" t="s">
        <v>650</v>
      </c>
    </row>
    <row r="595">
      <c r="A595" s="1" t="s">
        <v>2533</v>
      </c>
      <c r="B595" s="2" t="s">
        <v>2899</v>
      </c>
      <c r="C595" s="2" t="s">
        <v>320</v>
      </c>
    </row>
    <row r="596">
      <c r="A596" s="1" t="s">
        <v>2900</v>
      </c>
      <c r="B596" s="2" t="s">
        <v>2901</v>
      </c>
      <c r="C596" s="2" t="s">
        <v>2553</v>
      </c>
    </row>
    <row r="597">
      <c r="A597" s="1" t="s">
        <v>2902</v>
      </c>
      <c r="B597" s="2" t="s">
        <v>2903</v>
      </c>
      <c r="C597" s="2" t="s">
        <v>56</v>
      </c>
    </row>
    <row r="598">
      <c r="A598" s="1" t="s">
        <v>2905</v>
      </c>
      <c r="B598" s="2" t="s">
        <v>2906</v>
      </c>
      <c r="C598" s="2" t="s">
        <v>56</v>
      </c>
    </row>
    <row r="599">
      <c r="A599" s="1" t="s">
        <v>2907</v>
      </c>
      <c r="B599" s="2" t="s">
        <v>2908</v>
      </c>
      <c r="C599" s="2" t="s">
        <v>475</v>
      </c>
    </row>
    <row r="600">
      <c r="A600" s="1" t="s">
        <v>2909</v>
      </c>
      <c r="B600" s="2" t="s">
        <v>2911</v>
      </c>
      <c r="C600" s="2" t="s">
        <v>475</v>
      </c>
    </row>
    <row r="601">
      <c r="A601" s="1" t="s">
        <v>2912</v>
      </c>
      <c r="B601" s="2" t="s">
        <v>2913</v>
      </c>
      <c r="C601" s="2" t="s">
        <v>460</v>
      </c>
    </row>
    <row r="602">
      <c r="A602" s="1" t="s">
        <v>2914</v>
      </c>
      <c r="B602" s="2" t="s">
        <v>2915</v>
      </c>
      <c r="C602" s="2" t="s">
        <v>475</v>
      </c>
    </row>
    <row r="603">
      <c r="A603" s="1" t="s">
        <v>2917</v>
      </c>
      <c r="B603" s="2" t="s">
        <v>2918</v>
      </c>
      <c r="C603" s="2" t="s">
        <v>320</v>
      </c>
    </row>
    <row r="604">
      <c r="A604" s="1" t="s">
        <v>2919</v>
      </c>
      <c r="B604" s="2" t="s">
        <v>2920</v>
      </c>
      <c r="C604" s="2" t="s">
        <v>246</v>
      </c>
    </row>
    <row r="605">
      <c r="A605" s="1" t="s">
        <v>253</v>
      </c>
      <c r="B605" s="2" t="s">
        <v>256</v>
      </c>
      <c r="C605" s="2" t="s">
        <v>246</v>
      </c>
    </row>
    <row r="606">
      <c r="A606" s="1" t="s">
        <v>2921</v>
      </c>
      <c r="B606" s="2" t="s">
        <v>2922</v>
      </c>
      <c r="C606" s="2" t="s">
        <v>45</v>
      </c>
    </row>
    <row r="607">
      <c r="A607" s="1" t="s">
        <v>2924</v>
      </c>
      <c r="B607" s="2" t="s">
        <v>2925</v>
      </c>
      <c r="C607" s="2" t="s">
        <v>45</v>
      </c>
    </row>
    <row r="608">
      <c r="A608" s="1" t="s">
        <v>2926</v>
      </c>
      <c r="B608" s="2" t="s">
        <v>2927</v>
      </c>
      <c r="C608" s="2" t="s">
        <v>231</v>
      </c>
    </row>
    <row r="609">
      <c r="A609" s="1" t="s">
        <v>2928</v>
      </c>
      <c r="B609" s="2" t="s">
        <v>2929</v>
      </c>
      <c r="C609" s="2" t="s">
        <v>231</v>
      </c>
    </row>
    <row r="610">
      <c r="A610" s="1" t="s">
        <v>2930</v>
      </c>
      <c r="B610" s="2" t="s">
        <v>2931</v>
      </c>
      <c r="C610" s="2" t="s">
        <v>475</v>
      </c>
    </row>
    <row r="611">
      <c r="A611" s="1" t="s">
        <v>2932</v>
      </c>
      <c r="B611" s="2" t="s">
        <v>2933</v>
      </c>
      <c r="C611" s="2" t="s">
        <v>475</v>
      </c>
    </row>
    <row r="612">
      <c r="A612" s="1" t="s">
        <v>2934</v>
      </c>
      <c r="B612" s="2" t="s">
        <v>2935</v>
      </c>
      <c r="C612" s="2" t="s">
        <v>508</v>
      </c>
    </row>
    <row r="613">
      <c r="A613" s="1" t="s">
        <v>415</v>
      </c>
      <c r="B613" s="2" t="s">
        <v>2936</v>
      </c>
      <c r="C613" s="2" t="s">
        <v>508</v>
      </c>
    </row>
    <row r="614">
      <c r="A614" s="1" t="s">
        <v>2937</v>
      </c>
      <c r="B614" s="2" t="s">
        <v>2938</v>
      </c>
      <c r="C614" s="2" t="s">
        <v>508</v>
      </c>
    </row>
    <row r="615">
      <c r="A615" s="1" t="s">
        <v>2939</v>
      </c>
      <c r="B615" s="2" t="s">
        <v>2940</v>
      </c>
      <c r="C615" s="2" t="s">
        <v>508</v>
      </c>
    </row>
    <row r="616">
      <c r="A616" s="1" t="s">
        <v>2941</v>
      </c>
      <c r="B616" s="2" t="s">
        <v>2942</v>
      </c>
      <c r="C616" s="2" t="s">
        <v>2553</v>
      </c>
    </row>
    <row r="617">
      <c r="A617" s="1" t="s">
        <v>2943</v>
      </c>
      <c r="B617" s="2" t="s">
        <v>2944</v>
      </c>
      <c r="C617" s="2" t="s">
        <v>231</v>
      </c>
    </row>
    <row r="618">
      <c r="A618" s="1" t="s">
        <v>240</v>
      </c>
      <c r="B618" s="2" t="s">
        <v>242</v>
      </c>
      <c r="C618" s="2" t="s">
        <v>231</v>
      </c>
    </row>
    <row r="619">
      <c r="A619" s="1" t="s">
        <v>2945</v>
      </c>
      <c r="B619" s="2" t="s">
        <v>2946</v>
      </c>
      <c r="C619" s="2" t="s">
        <v>246</v>
      </c>
    </row>
    <row r="620">
      <c r="A620" s="1" t="s">
        <v>2947</v>
      </c>
      <c r="B620" s="2" t="s">
        <v>2948</v>
      </c>
      <c r="C620" s="2" t="s">
        <v>650</v>
      </c>
    </row>
    <row r="621">
      <c r="A621" s="1" t="s">
        <v>2949</v>
      </c>
      <c r="B621" s="2" t="s">
        <v>2950</v>
      </c>
      <c r="C621" s="2" t="s">
        <v>320</v>
      </c>
    </row>
    <row r="622">
      <c r="A622" s="1" t="s">
        <v>2951</v>
      </c>
      <c r="B622" s="2" t="s">
        <v>2952</v>
      </c>
      <c r="C622" s="2" t="s">
        <v>460</v>
      </c>
    </row>
    <row r="623">
      <c r="A623" s="1" t="s">
        <v>2953</v>
      </c>
      <c r="B623" s="2" t="s">
        <v>2954</v>
      </c>
      <c r="C623" s="2" t="s">
        <v>320</v>
      </c>
    </row>
    <row r="624">
      <c r="A624" s="1" t="s">
        <v>2955</v>
      </c>
      <c r="B624" s="2" t="s">
        <v>2956</v>
      </c>
      <c r="C624" s="2" t="s">
        <v>460</v>
      </c>
    </row>
    <row r="625">
      <c r="A625" s="1" t="s">
        <v>500</v>
      </c>
      <c r="B625" s="2" t="s">
        <v>501</v>
      </c>
      <c r="C625" s="2" t="s">
        <v>475</v>
      </c>
    </row>
    <row r="626">
      <c r="A626" s="1" t="s">
        <v>334</v>
      </c>
      <c r="B626" s="2" t="s">
        <v>335</v>
      </c>
      <c r="C626" s="2" t="s">
        <v>320</v>
      </c>
    </row>
    <row r="627">
      <c r="A627" s="1" t="s">
        <v>64</v>
      </c>
      <c r="B627" s="2" t="s">
        <v>68</v>
      </c>
      <c r="C627" s="2" t="s">
        <v>56</v>
      </c>
    </row>
    <row r="628">
      <c r="A628" s="13" t="s">
        <v>1131</v>
      </c>
      <c r="B628" s="2" t="s">
        <v>1142</v>
      </c>
      <c r="C628" s="2" t="s">
        <v>378</v>
      </c>
    </row>
    <row r="629">
      <c r="B629" s="2">
        <f>IFERROR(__xludf.DUMMYFUNCTION("COUNTUNIQUE(B2:B628)"),627.0)</f>
        <v>627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7.38"/>
    <col customWidth="1" min="3" max="3" width="15.75"/>
    <col customWidth="1" min="4" max="4" width="23.25"/>
  </cols>
  <sheetData>
    <row r="1">
      <c r="A1" s="8" t="s">
        <v>1</v>
      </c>
      <c r="B1" s="9"/>
      <c r="C1" s="10"/>
      <c r="D1" s="9"/>
    </row>
    <row r="2">
      <c r="A2" s="12" t="s">
        <v>3</v>
      </c>
      <c r="B2" s="14" t="s">
        <v>0</v>
      </c>
      <c r="C2" s="12" t="s">
        <v>2</v>
      </c>
      <c r="D2" s="14" t="s">
        <v>14</v>
      </c>
    </row>
    <row r="3">
      <c r="A3" s="15">
        <v>42.0</v>
      </c>
      <c r="B3" s="19" t="s">
        <v>88</v>
      </c>
      <c r="C3" s="20" t="s">
        <v>261</v>
      </c>
      <c r="D3" s="19" t="s">
        <v>31</v>
      </c>
    </row>
    <row r="4">
      <c r="A4" s="15">
        <v>66.0</v>
      </c>
      <c r="B4" s="19" t="s">
        <v>276</v>
      </c>
      <c r="C4" s="20" t="s">
        <v>279</v>
      </c>
      <c r="D4" s="19" t="s">
        <v>31</v>
      </c>
    </row>
    <row r="5">
      <c r="A5" s="15">
        <v>139.0</v>
      </c>
      <c r="B5" s="19" t="s">
        <v>287</v>
      </c>
      <c r="C5" s="21" t="s">
        <v>290</v>
      </c>
      <c r="D5" s="22" t="s">
        <v>31</v>
      </c>
    </row>
    <row r="6">
      <c r="A6" s="15">
        <v>73.0</v>
      </c>
      <c r="B6" s="19" t="s">
        <v>301</v>
      </c>
      <c r="C6" s="20" t="s">
        <v>304</v>
      </c>
      <c r="D6" s="19" t="s">
        <v>73</v>
      </c>
    </row>
    <row r="7">
      <c r="A7" s="15">
        <v>105.0</v>
      </c>
      <c r="B7" s="19" t="s">
        <v>74</v>
      </c>
      <c r="C7" s="20" t="s">
        <v>75</v>
      </c>
      <c r="D7" s="19" t="s">
        <v>73</v>
      </c>
    </row>
    <row r="8">
      <c r="A8" s="15">
        <v>116.0</v>
      </c>
      <c r="B8" s="19" t="s">
        <v>315</v>
      </c>
      <c r="C8" s="21" t="s">
        <v>317</v>
      </c>
      <c r="D8" s="22" t="s">
        <v>73</v>
      </c>
    </row>
    <row r="9">
      <c r="A9" s="15">
        <v>4.0</v>
      </c>
      <c r="B9" s="19" t="s">
        <v>15</v>
      </c>
      <c r="C9" s="20" t="s">
        <v>16</v>
      </c>
      <c r="D9" s="19" t="s">
        <v>17</v>
      </c>
    </row>
    <row r="10">
      <c r="A10" s="15">
        <v>19.0</v>
      </c>
      <c r="B10" s="19" t="s">
        <v>329</v>
      </c>
      <c r="C10" s="20" t="s">
        <v>333</v>
      </c>
      <c r="D10" s="19" t="s">
        <v>17</v>
      </c>
    </row>
    <row r="11">
      <c r="A11" s="15">
        <v>68.0</v>
      </c>
      <c r="B11" s="19" t="s">
        <v>25</v>
      </c>
      <c r="C11" s="20" t="s">
        <v>26</v>
      </c>
      <c r="D11" s="19" t="s">
        <v>17</v>
      </c>
    </row>
    <row r="12">
      <c r="A12" s="15">
        <v>3.0</v>
      </c>
      <c r="B12" s="19" t="s">
        <v>11</v>
      </c>
      <c r="C12" s="20" t="s">
        <v>12</v>
      </c>
      <c r="D12" s="19" t="s">
        <v>13</v>
      </c>
    </row>
    <row r="13">
      <c r="A13" s="15">
        <v>7.0</v>
      </c>
      <c r="B13" s="19" t="s">
        <v>350</v>
      </c>
      <c r="C13" s="20" t="s">
        <v>353</v>
      </c>
      <c r="D13" s="19" t="s">
        <v>13</v>
      </c>
    </row>
    <row r="14">
      <c r="A14" s="15">
        <v>8.0</v>
      </c>
      <c r="B14" s="19" t="s">
        <v>358</v>
      </c>
      <c r="C14" s="20" t="s">
        <v>361</v>
      </c>
      <c r="D14" s="19" t="s">
        <v>13</v>
      </c>
    </row>
    <row r="15">
      <c r="A15" s="15">
        <v>9.0</v>
      </c>
      <c r="B15" s="19" t="s">
        <v>365</v>
      </c>
      <c r="C15" s="20" t="s">
        <v>368</v>
      </c>
      <c r="D15" s="19" t="s">
        <v>13</v>
      </c>
    </row>
    <row r="16">
      <c r="A16" s="15">
        <v>10.0</v>
      </c>
      <c r="B16" s="19" t="s">
        <v>374</v>
      </c>
      <c r="C16" s="20" t="s">
        <v>376</v>
      </c>
      <c r="D16" s="19" t="s">
        <v>13</v>
      </c>
    </row>
    <row r="17">
      <c r="A17" s="15">
        <v>67.0</v>
      </c>
      <c r="B17" s="19" t="s">
        <v>380</v>
      </c>
      <c r="C17" s="20" t="s">
        <v>382</v>
      </c>
      <c r="D17" s="19" t="s">
        <v>13</v>
      </c>
    </row>
    <row r="18">
      <c r="A18" s="15">
        <v>91.0</v>
      </c>
      <c r="B18" s="19" t="s">
        <v>387</v>
      </c>
      <c r="C18" s="20" t="s">
        <v>390</v>
      </c>
      <c r="D18" s="19" t="s">
        <v>13</v>
      </c>
    </row>
    <row r="19">
      <c r="A19" s="15">
        <v>92.0</v>
      </c>
      <c r="B19" s="19" t="s">
        <v>396</v>
      </c>
      <c r="C19" s="20" t="s">
        <v>398</v>
      </c>
      <c r="D19" s="19" t="s">
        <v>13</v>
      </c>
    </row>
    <row r="20">
      <c r="A20" s="15">
        <v>93.0</v>
      </c>
      <c r="B20" s="19" t="s">
        <v>404</v>
      </c>
      <c r="C20" s="20" t="s">
        <v>405</v>
      </c>
      <c r="D20" s="19" t="s">
        <v>13</v>
      </c>
    </row>
    <row r="21">
      <c r="A21" s="15">
        <v>96.0</v>
      </c>
      <c r="B21" s="19" t="s">
        <v>410</v>
      </c>
      <c r="C21" s="20" t="s">
        <v>411</v>
      </c>
      <c r="D21" s="19" t="s">
        <v>13</v>
      </c>
    </row>
    <row r="22">
      <c r="A22" s="15">
        <v>101.0</v>
      </c>
      <c r="B22" s="19" t="s">
        <v>69</v>
      </c>
      <c r="C22" s="20" t="s">
        <v>71</v>
      </c>
      <c r="D22" s="19" t="s">
        <v>13</v>
      </c>
    </row>
    <row r="23">
      <c r="A23" s="15">
        <v>102.0</v>
      </c>
      <c r="B23" s="19" t="s">
        <v>76</v>
      </c>
      <c r="C23" s="20" t="s">
        <v>77</v>
      </c>
      <c r="D23" s="19" t="s">
        <v>13</v>
      </c>
    </row>
    <row r="24">
      <c r="A24" s="15">
        <v>103.0</v>
      </c>
      <c r="B24" s="19" t="s">
        <v>80</v>
      </c>
      <c r="C24" s="20" t="s">
        <v>82</v>
      </c>
      <c r="D24" s="19" t="s">
        <v>13</v>
      </c>
    </row>
    <row r="25">
      <c r="A25" s="15">
        <v>115.0</v>
      </c>
      <c r="B25" s="19" t="s">
        <v>433</v>
      </c>
      <c r="C25" s="21" t="s">
        <v>436</v>
      </c>
      <c r="D25" s="22" t="s">
        <v>13</v>
      </c>
    </row>
    <row r="26">
      <c r="A26" s="15">
        <v>145.0</v>
      </c>
      <c r="B26" s="23" t="s">
        <v>441</v>
      </c>
      <c r="C26" s="24" t="s">
        <v>450</v>
      </c>
      <c r="D26" s="25" t="s">
        <v>13</v>
      </c>
    </row>
    <row r="27">
      <c r="A27" s="15">
        <v>147.0</v>
      </c>
      <c r="B27" s="23" t="s">
        <v>465</v>
      </c>
      <c r="C27" s="24" t="s">
        <v>467</v>
      </c>
      <c r="D27" s="25" t="s">
        <v>13</v>
      </c>
    </row>
    <row r="28">
      <c r="A28" s="15">
        <v>32.0</v>
      </c>
      <c r="B28" s="19" t="s">
        <v>476</v>
      </c>
      <c r="C28" s="20" t="s">
        <v>477</v>
      </c>
      <c r="D28" s="19" t="s">
        <v>231</v>
      </c>
    </row>
    <row r="29">
      <c r="A29" s="15">
        <v>108.0</v>
      </c>
      <c r="B29" s="19" t="s">
        <v>484</v>
      </c>
      <c r="C29" s="21" t="s">
        <v>485</v>
      </c>
      <c r="D29" s="22" t="s">
        <v>100</v>
      </c>
    </row>
    <row r="30">
      <c r="A30" s="15">
        <v>140.0</v>
      </c>
      <c r="B30" s="19" t="s">
        <v>492</v>
      </c>
      <c r="C30" s="21" t="s">
        <v>495</v>
      </c>
      <c r="D30" s="22" t="s">
        <v>100</v>
      </c>
    </row>
    <row r="31">
      <c r="A31" s="15">
        <v>17.0</v>
      </c>
      <c r="B31" s="19" t="s">
        <v>502</v>
      </c>
      <c r="C31" s="20" t="s">
        <v>505</v>
      </c>
      <c r="D31" s="19" t="s">
        <v>283</v>
      </c>
    </row>
    <row r="32">
      <c r="A32" s="15">
        <v>87.0</v>
      </c>
      <c r="B32" s="19" t="s">
        <v>42</v>
      </c>
      <c r="C32" s="20" t="s">
        <v>44</v>
      </c>
      <c r="D32" s="19" t="s">
        <v>45</v>
      </c>
    </row>
    <row r="33">
      <c r="A33" s="15">
        <v>31.0</v>
      </c>
      <c r="B33" s="19" t="s">
        <v>521</v>
      </c>
      <c r="C33" s="20" t="s">
        <v>523</v>
      </c>
      <c r="D33" s="19" t="s">
        <v>320</v>
      </c>
    </row>
    <row r="34">
      <c r="A34" s="15">
        <v>109.0</v>
      </c>
      <c r="B34" s="19" t="s">
        <v>528</v>
      </c>
      <c r="C34" s="21" t="s">
        <v>530</v>
      </c>
      <c r="D34" s="22" t="s">
        <v>342</v>
      </c>
    </row>
    <row r="35">
      <c r="A35" s="15">
        <v>6.0</v>
      </c>
      <c r="B35" s="19" t="s">
        <v>22</v>
      </c>
      <c r="C35" s="20" t="s">
        <v>23</v>
      </c>
      <c r="D35" s="19" t="s">
        <v>24</v>
      </c>
    </row>
    <row r="36">
      <c r="A36" s="15">
        <v>89.0</v>
      </c>
      <c r="B36" s="19" t="s">
        <v>538</v>
      </c>
      <c r="C36" s="20" t="s">
        <v>540</v>
      </c>
      <c r="D36" s="19" t="s">
        <v>24</v>
      </c>
    </row>
    <row r="37">
      <c r="A37" s="15">
        <v>104.0</v>
      </c>
      <c r="B37" s="19" t="s">
        <v>87</v>
      </c>
      <c r="C37" s="20" t="s">
        <v>89</v>
      </c>
      <c r="D37" s="19" t="s">
        <v>24</v>
      </c>
    </row>
    <row r="38">
      <c r="A38" s="15">
        <v>110.0</v>
      </c>
      <c r="B38" s="19" t="s">
        <v>557</v>
      </c>
      <c r="C38" s="21" t="s">
        <v>559</v>
      </c>
      <c r="D38" s="22" t="s">
        <v>24</v>
      </c>
    </row>
    <row r="39">
      <c r="A39" s="15">
        <v>111.0</v>
      </c>
      <c r="B39" s="19" t="s">
        <v>561</v>
      </c>
      <c r="C39" s="21" t="s">
        <v>563</v>
      </c>
      <c r="D39" s="22" t="s">
        <v>24</v>
      </c>
    </row>
    <row r="40">
      <c r="A40" s="15">
        <v>112.0</v>
      </c>
      <c r="B40" s="19" t="s">
        <v>566</v>
      </c>
      <c r="C40" s="21" t="s">
        <v>567</v>
      </c>
      <c r="D40" s="22" t="s">
        <v>24</v>
      </c>
    </row>
    <row r="41">
      <c r="A41" s="15">
        <v>113.0</v>
      </c>
      <c r="B41" s="19" t="s">
        <v>572</v>
      </c>
      <c r="C41" s="21" t="s">
        <v>573</v>
      </c>
      <c r="D41" s="22" t="s">
        <v>24</v>
      </c>
    </row>
    <row r="42">
      <c r="A42" s="15">
        <v>43.0</v>
      </c>
      <c r="B42" s="19" t="s">
        <v>577</v>
      </c>
      <c r="C42" s="20" t="s">
        <v>579</v>
      </c>
      <c r="D42" s="19" t="s">
        <v>238</v>
      </c>
    </row>
    <row r="43">
      <c r="A43" s="15">
        <v>72.0</v>
      </c>
      <c r="B43" s="19" t="s">
        <v>582</v>
      </c>
      <c r="C43" s="20" t="s">
        <v>584</v>
      </c>
      <c r="D43" s="19" t="s">
        <v>238</v>
      </c>
    </row>
    <row r="44">
      <c r="A44" s="15">
        <v>117.0</v>
      </c>
      <c r="B44" s="19" t="s">
        <v>588</v>
      </c>
      <c r="C44" s="21" t="s">
        <v>590</v>
      </c>
      <c r="D44" s="22" t="s">
        <v>238</v>
      </c>
    </row>
    <row r="45">
      <c r="A45" s="15">
        <v>81.0</v>
      </c>
      <c r="B45" s="19" t="s">
        <v>595</v>
      </c>
      <c r="C45" s="20" t="s">
        <v>597</v>
      </c>
      <c r="D45" s="19" t="s">
        <v>460</v>
      </c>
    </row>
    <row r="46">
      <c r="A46" s="15">
        <v>30.0</v>
      </c>
      <c r="B46" s="19" t="s">
        <v>601</v>
      </c>
      <c r="C46" s="20" t="s">
        <v>602</v>
      </c>
      <c r="D46" s="19" t="s">
        <v>475</v>
      </c>
    </row>
    <row r="47">
      <c r="A47" s="15">
        <v>138.0</v>
      </c>
      <c r="B47" s="19" t="s">
        <v>605</v>
      </c>
      <c r="C47" s="21" t="s">
        <v>606</v>
      </c>
      <c r="D47" s="22" t="s">
        <v>475</v>
      </c>
    </row>
    <row r="48">
      <c r="A48" s="15">
        <v>146.0</v>
      </c>
      <c r="B48" s="23" t="s">
        <v>609</v>
      </c>
      <c r="C48" s="24" t="s">
        <v>610</v>
      </c>
      <c r="D48" s="25" t="s">
        <v>475</v>
      </c>
    </row>
    <row r="49">
      <c r="A49" s="15">
        <v>53.0</v>
      </c>
      <c r="B49" s="19" t="s">
        <v>613</v>
      </c>
      <c r="C49" s="20" t="s">
        <v>615</v>
      </c>
      <c r="D49" s="19" t="s">
        <v>550</v>
      </c>
    </row>
    <row r="50">
      <c r="A50" s="15">
        <v>121.0</v>
      </c>
      <c r="B50" s="19" t="s">
        <v>622</v>
      </c>
      <c r="C50" s="21" t="s">
        <v>624</v>
      </c>
      <c r="D50" s="22" t="s">
        <v>550</v>
      </c>
    </row>
    <row r="51">
      <c r="A51" s="15">
        <v>49.0</v>
      </c>
      <c r="B51" s="19" t="s">
        <v>630</v>
      </c>
      <c r="C51" s="20" t="s">
        <v>633</v>
      </c>
      <c r="D51" s="19" t="s">
        <v>619</v>
      </c>
    </row>
    <row r="52">
      <c r="A52" s="15">
        <v>64.0</v>
      </c>
      <c r="B52" s="19" t="s">
        <v>638</v>
      </c>
      <c r="C52" s="20" t="s">
        <v>639</v>
      </c>
      <c r="D52" s="19" t="s">
        <v>642</v>
      </c>
    </row>
    <row r="53">
      <c r="A53" s="15">
        <v>65.0</v>
      </c>
      <c r="B53" s="19" t="s">
        <v>646</v>
      </c>
      <c r="C53" s="20" t="s">
        <v>649</v>
      </c>
      <c r="D53" s="19" t="s">
        <v>652</v>
      </c>
    </row>
    <row r="54">
      <c r="A54" s="15">
        <v>63.0</v>
      </c>
      <c r="B54" s="19" t="s">
        <v>656</v>
      </c>
      <c r="C54" s="20" t="s">
        <v>658</v>
      </c>
      <c r="D54" s="19" t="s">
        <v>663</v>
      </c>
    </row>
    <row r="55">
      <c r="A55" s="15">
        <v>122.0</v>
      </c>
      <c r="B55" s="19" t="s">
        <v>666</v>
      </c>
      <c r="C55" s="21" t="s">
        <v>669</v>
      </c>
      <c r="D55" s="22" t="s">
        <v>663</v>
      </c>
    </row>
    <row r="56">
      <c r="A56" s="15">
        <v>28.0</v>
      </c>
      <c r="B56" s="19" t="s">
        <v>674</v>
      </c>
      <c r="C56" s="20" t="s">
        <v>676</v>
      </c>
      <c r="D56" s="19" t="s">
        <v>679</v>
      </c>
    </row>
    <row r="57">
      <c r="A57" s="15">
        <v>54.0</v>
      </c>
      <c r="B57" s="19" t="s">
        <v>683</v>
      </c>
      <c r="C57" s="20" t="s">
        <v>686</v>
      </c>
      <c r="D57" s="19" t="s">
        <v>509</v>
      </c>
    </row>
    <row r="58">
      <c r="A58" s="15">
        <v>70.0</v>
      </c>
      <c r="B58" s="19" t="s">
        <v>692</v>
      </c>
      <c r="C58" s="20" t="s">
        <v>694</v>
      </c>
      <c r="D58" s="19" t="s">
        <v>695</v>
      </c>
    </row>
    <row r="59">
      <c r="A59" s="15">
        <v>39.0</v>
      </c>
      <c r="B59" s="19" t="s">
        <v>700</v>
      </c>
      <c r="C59" s="20" t="s">
        <v>701</v>
      </c>
      <c r="D59" s="19" t="s">
        <v>703</v>
      </c>
    </row>
    <row r="60">
      <c r="A60" s="15">
        <v>129.0</v>
      </c>
      <c r="B60" s="19" t="s">
        <v>707</v>
      </c>
      <c r="C60" s="21" t="s">
        <v>708</v>
      </c>
      <c r="D60" s="22" t="s">
        <v>703</v>
      </c>
    </row>
    <row r="61">
      <c r="A61" s="15">
        <v>37.0</v>
      </c>
      <c r="B61" s="19" t="s">
        <v>712</v>
      </c>
      <c r="C61" s="20" t="s">
        <v>714</v>
      </c>
      <c r="D61" s="19" t="s">
        <v>716</v>
      </c>
    </row>
    <row r="62">
      <c r="A62" s="15">
        <v>132.0</v>
      </c>
      <c r="B62" s="19" t="s">
        <v>719</v>
      </c>
      <c r="C62" s="21" t="s">
        <v>720</v>
      </c>
      <c r="D62" s="22" t="s">
        <v>716</v>
      </c>
    </row>
    <row r="63">
      <c r="A63" s="15">
        <v>41.0</v>
      </c>
      <c r="B63" s="19" t="s">
        <v>724</v>
      </c>
      <c r="C63" s="20" t="s">
        <v>727</v>
      </c>
      <c r="D63" s="19" t="s">
        <v>729</v>
      </c>
    </row>
    <row r="64">
      <c r="A64" s="15">
        <v>36.0</v>
      </c>
      <c r="B64" s="19" t="s">
        <v>736</v>
      </c>
      <c r="C64" s="20" t="s">
        <v>737</v>
      </c>
      <c r="D64" s="19" t="s">
        <v>738</v>
      </c>
    </row>
    <row r="65">
      <c r="A65" s="15">
        <v>2.0</v>
      </c>
      <c r="B65" s="19" t="s">
        <v>8</v>
      </c>
      <c r="C65" s="20" t="s">
        <v>9</v>
      </c>
      <c r="D65" s="19" t="s">
        <v>10</v>
      </c>
    </row>
    <row r="66">
      <c r="A66" s="15">
        <v>11.0</v>
      </c>
      <c r="B66" s="19" t="s">
        <v>748</v>
      </c>
      <c r="C66" s="20" t="s">
        <v>749</v>
      </c>
      <c r="D66" s="19" t="s">
        <v>10</v>
      </c>
    </row>
    <row r="67">
      <c r="A67" s="15">
        <v>134.0</v>
      </c>
      <c r="B67" s="19" t="s">
        <v>753</v>
      </c>
      <c r="C67" s="21" t="s">
        <v>755</v>
      </c>
      <c r="D67" s="22" t="s">
        <v>10</v>
      </c>
    </row>
    <row r="68">
      <c r="A68" s="15">
        <v>14.0</v>
      </c>
      <c r="B68" s="19" t="s">
        <v>759</v>
      </c>
      <c r="C68" s="20" t="s">
        <v>761</v>
      </c>
      <c r="D68" s="19" t="s">
        <v>762</v>
      </c>
    </row>
    <row r="69">
      <c r="A69" s="15">
        <v>12.0</v>
      </c>
      <c r="B69" s="19" t="s">
        <v>765</v>
      </c>
      <c r="C69" s="20" t="s">
        <v>767</v>
      </c>
      <c r="D69" s="19" t="s">
        <v>773</v>
      </c>
    </row>
    <row r="70">
      <c r="A70" s="15">
        <v>13.0</v>
      </c>
      <c r="B70" s="19" t="s">
        <v>779</v>
      </c>
      <c r="C70" s="20" t="s">
        <v>780</v>
      </c>
      <c r="D70" s="19" t="s">
        <v>781</v>
      </c>
    </row>
    <row r="71">
      <c r="A71" s="15">
        <v>95.0</v>
      </c>
      <c r="B71" s="19" t="s">
        <v>785</v>
      </c>
      <c r="C71" s="20" t="s">
        <v>788</v>
      </c>
      <c r="D71" s="19" t="s">
        <v>781</v>
      </c>
    </row>
    <row r="72">
      <c r="A72" s="15">
        <v>38.0</v>
      </c>
      <c r="B72" s="19" t="s">
        <v>792</v>
      </c>
      <c r="C72" s="20" t="s">
        <v>794</v>
      </c>
      <c r="D72" s="19" t="s">
        <v>795</v>
      </c>
    </row>
    <row r="73">
      <c r="A73" s="15">
        <v>51.0</v>
      </c>
      <c r="B73" s="19" t="s">
        <v>796</v>
      </c>
      <c r="C73" s="20" t="s">
        <v>798</v>
      </c>
      <c r="D73" s="19" t="s">
        <v>386</v>
      </c>
    </row>
    <row r="74">
      <c r="A74" s="15">
        <v>119.0</v>
      </c>
      <c r="B74" s="19" t="s">
        <v>804</v>
      </c>
      <c r="C74" s="21" t="s">
        <v>807</v>
      </c>
      <c r="D74" s="22" t="s">
        <v>386</v>
      </c>
    </row>
    <row r="75">
      <c r="A75" s="15">
        <v>46.0</v>
      </c>
      <c r="B75" s="19" t="s">
        <v>812</v>
      </c>
      <c r="C75" s="20" t="s">
        <v>813</v>
      </c>
      <c r="D75" s="19" t="s">
        <v>816</v>
      </c>
    </row>
    <row r="76">
      <c r="A76" s="15">
        <v>57.0</v>
      </c>
      <c r="B76" s="19" t="s">
        <v>819</v>
      </c>
      <c r="C76" s="20" t="s">
        <v>821</v>
      </c>
      <c r="D76" s="19" t="s">
        <v>824</v>
      </c>
    </row>
    <row r="77">
      <c r="A77" s="15">
        <v>61.0</v>
      </c>
      <c r="B77" s="19" t="s">
        <v>827</v>
      </c>
      <c r="C77" s="20" t="s">
        <v>829</v>
      </c>
      <c r="D77" s="19" t="s">
        <v>830</v>
      </c>
    </row>
    <row r="78">
      <c r="A78" s="15">
        <v>142.0</v>
      </c>
      <c r="B78" s="19" t="s">
        <v>837</v>
      </c>
      <c r="C78" s="21" t="s">
        <v>838</v>
      </c>
      <c r="D78" s="22" t="s">
        <v>830</v>
      </c>
    </row>
    <row r="79">
      <c r="A79" s="15">
        <v>35.0</v>
      </c>
      <c r="B79" s="19" t="s">
        <v>844</v>
      </c>
      <c r="C79" s="20" t="s">
        <v>845</v>
      </c>
      <c r="D79" s="19" t="s">
        <v>847</v>
      </c>
    </row>
    <row r="80">
      <c r="A80" s="15">
        <v>75.0</v>
      </c>
      <c r="B80" s="19" t="s">
        <v>851</v>
      </c>
      <c r="C80" s="20" t="s">
        <v>854</v>
      </c>
      <c r="D80" s="19" t="s">
        <v>847</v>
      </c>
    </row>
    <row r="81">
      <c r="A81" s="15">
        <v>55.0</v>
      </c>
      <c r="B81" s="19" t="s">
        <v>859</v>
      </c>
      <c r="C81" s="20" t="s">
        <v>863</v>
      </c>
      <c r="D81" s="19" t="s">
        <v>726</v>
      </c>
    </row>
    <row r="82">
      <c r="A82" s="15">
        <v>123.0</v>
      </c>
      <c r="B82" s="19" t="s">
        <v>868</v>
      </c>
      <c r="C82" s="21" t="s">
        <v>870</v>
      </c>
      <c r="D82" s="22" t="s">
        <v>726</v>
      </c>
    </row>
    <row r="83">
      <c r="A83" s="15">
        <v>78.0</v>
      </c>
      <c r="B83" s="19" t="s">
        <v>874</v>
      </c>
      <c r="C83" s="20" t="s">
        <v>878</v>
      </c>
      <c r="D83" s="19" t="s">
        <v>879</v>
      </c>
    </row>
    <row r="84">
      <c r="A84" s="15">
        <v>5.0</v>
      </c>
      <c r="B84" s="19" t="s">
        <v>19</v>
      </c>
      <c r="C84" s="20" t="s">
        <v>20</v>
      </c>
      <c r="D84" s="19" t="s">
        <v>21</v>
      </c>
    </row>
    <row r="85">
      <c r="A85" s="15">
        <v>15.0</v>
      </c>
      <c r="B85" s="19" t="s">
        <v>892</v>
      </c>
      <c r="C85" s="20" t="s">
        <v>894</v>
      </c>
      <c r="D85" s="19" t="s">
        <v>21</v>
      </c>
    </row>
    <row r="86">
      <c r="A86" s="15">
        <v>136.0</v>
      </c>
      <c r="B86" s="19" t="s">
        <v>900</v>
      </c>
      <c r="C86" s="21" t="s">
        <v>902</v>
      </c>
      <c r="D86" s="22" t="s">
        <v>21</v>
      </c>
    </row>
    <row r="87">
      <c r="A87" s="15">
        <v>141.0</v>
      </c>
      <c r="B87" s="19" t="s">
        <v>910</v>
      </c>
      <c r="C87" s="21" t="s">
        <v>912</v>
      </c>
      <c r="D87" s="22" t="s">
        <v>852</v>
      </c>
    </row>
    <row r="88">
      <c r="A88" s="15">
        <v>50.0</v>
      </c>
      <c r="B88" s="19" t="s">
        <v>918</v>
      </c>
      <c r="C88" s="20" t="s">
        <v>919</v>
      </c>
      <c r="D88" s="19" t="s">
        <v>268</v>
      </c>
    </row>
    <row r="89">
      <c r="A89" s="15">
        <v>118.0</v>
      </c>
      <c r="B89" s="19" t="s">
        <v>926</v>
      </c>
      <c r="C89" s="21" t="s">
        <v>928</v>
      </c>
      <c r="D89" s="22" t="s">
        <v>268</v>
      </c>
    </row>
    <row r="90">
      <c r="A90" s="15">
        <v>88.0</v>
      </c>
      <c r="B90" s="19" t="s">
        <v>48</v>
      </c>
      <c r="C90" s="20" t="s">
        <v>50</v>
      </c>
      <c r="D90" s="19" t="s">
        <v>52</v>
      </c>
    </row>
    <row r="91">
      <c r="A91" s="15">
        <v>40.0</v>
      </c>
      <c r="B91" s="19" t="s">
        <v>941</v>
      </c>
      <c r="C91" s="20" t="s">
        <v>942</v>
      </c>
      <c r="D91" s="19" t="s">
        <v>944</v>
      </c>
    </row>
    <row r="92">
      <c r="A92" s="15">
        <v>79.0</v>
      </c>
      <c r="B92" s="19" t="s">
        <v>949</v>
      </c>
      <c r="C92" s="20" t="s">
        <v>950</v>
      </c>
      <c r="D92" s="19" t="s">
        <v>944</v>
      </c>
    </row>
    <row r="93">
      <c r="A93" s="15">
        <v>144.0</v>
      </c>
      <c r="B93" s="19" t="s">
        <v>955</v>
      </c>
      <c r="C93" s="21" t="s">
        <v>958</v>
      </c>
      <c r="D93" s="22" t="s">
        <v>944</v>
      </c>
    </row>
    <row r="94">
      <c r="A94" s="15">
        <v>56.0</v>
      </c>
      <c r="B94" s="19" t="s">
        <v>964</v>
      </c>
      <c r="C94" s="20" t="s">
        <v>965</v>
      </c>
      <c r="D94" s="19" t="s">
        <v>843</v>
      </c>
    </row>
    <row r="95">
      <c r="A95" s="15">
        <v>100.0</v>
      </c>
      <c r="B95" s="19" t="s">
        <v>972</v>
      </c>
      <c r="C95" s="20" t="s">
        <v>973</v>
      </c>
      <c r="D95" s="19" t="s">
        <v>843</v>
      </c>
    </row>
    <row r="96">
      <c r="A96" s="15">
        <v>124.0</v>
      </c>
      <c r="B96" s="19" t="s">
        <v>979</v>
      </c>
      <c r="C96" s="21" t="s">
        <v>982</v>
      </c>
      <c r="D96" s="22" t="s">
        <v>843</v>
      </c>
    </row>
    <row r="97">
      <c r="A97" s="15">
        <v>83.0</v>
      </c>
      <c r="B97" s="19" t="s">
        <v>987</v>
      </c>
      <c r="C97" s="20" t="s">
        <v>988</v>
      </c>
      <c r="D97" s="19" t="s">
        <v>836</v>
      </c>
    </row>
    <row r="98">
      <c r="A98" s="15">
        <v>60.0</v>
      </c>
      <c r="B98" s="19" t="s">
        <v>995</v>
      </c>
      <c r="C98" s="20" t="s">
        <v>996</v>
      </c>
      <c r="D98" s="19" t="s">
        <v>998</v>
      </c>
    </row>
    <row r="99">
      <c r="A99" s="15">
        <v>127.0</v>
      </c>
      <c r="B99" s="19" t="s">
        <v>1003</v>
      </c>
      <c r="C99" s="21" t="s">
        <v>1006</v>
      </c>
      <c r="D99" s="22" t="s">
        <v>998</v>
      </c>
    </row>
    <row r="100">
      <c r="A100" s="15">
        <v>59.0</v>
      </c>
      <c r="B100" s="19" t="s">
        <v>1011</v>
      </c>
      <c r="C100" s="20" t="s">
        <v>1012</v>
      </c>
      <c r="D100" s="19" t="s">
        <v>1014</v>
      </c>
    </row>
    <row r="101">
      <c r="A101" s="15">
        <v>126.0</v>
      </c>
      <c r="B101" s="19" t="s">
        <v>1017</v>
      </c>
      <c r="C101" s="21" t="s">
        <v>1019</v>
      </c>
      <c r="D101" s="22" t="s">
        <v>1014</v>
      </c>
    </row>
    <row r="102">
      <c r="A102" s="15">
        <v>26.0</v>
      </c>
      <c r="B102" s="19" t="s">
        <v>1022</v>
      </c>
      <c r="C102" s="20" t="s">
        <v>1023</v>
      </c>
      <c r="D102" s="19" t="s">
        <v>1025</v>
      </c>
    </row>
    <row r="103">
      <c r="A103" s="15">
        <v>137.0</v>
      </c>
      <c r="B103" s="19" t="s">
        <v>1029</v>
      </c>
      <c r="C103" s="21" t="s">
        <v>1031</v>
      </c>
      <c r="D103" s="22" t="s">
        <v>1025</v>
      </c>
    </row>
    <row r="104">
      <c r="A104" s="15">
        <v>84.0</v>
      </c>
      <c r="B104" s="19" t="s">
        <v>35</v>
      </c>
      <c r="C104" s="20" t="s">
        <v>36</v>
      </c>
      <c r="D104" s="19" t="s">
        <v>38</v>
      </c>
    </row>
    <row r="105">
      <c r="A105" s="15">
        <v>52.0</v>
      </c>
      <c r="B105" s="19" t="s">
        <v>1036</v>
      </c>
      <c r="C105" s="20" t="s">
        <v>1037</v>
      </c>
      <c r="D105" s="19" t="s">
        <v>621</v>
      </c>
    </row>
    <row r="106">
      <c r="A106" s="15">
        <v>120.0</v>
      </c>
      <c r="B106" s="19" t="s">
        <v>1041</v>
      </c>
      <c r="C106" s="21" t="s">
        <v>1043</v>
      </c>
      <c r="D106" s="22" t="s">
        <v>621</v>
      </c>
    </row>
    <row r="107">
      <c r="A107" s="15">
        <v>71.0</v>
      </c>
      <c r="B107" s="19" t="s">
        <v>1046</v>
      </c>
      <c r="C107" s="20" t="s">
        <v>1048</v>
      </c>
      <c r="D107" s="19" t="s">
        <v>1049</v>
      </c>
    </row>
    <row r="108">
      <c r="A108" s="15">
        <v>16.0</v>
      </c>
      <c r="B108" s="19" t="s">
        <v>1053</v>
      </c>
      <c r="C108" s="20" t="s">
        <v>1056</v>
      </c>
      <c r="D108" s="19" t="s">
        <v>1057</v>
      </c>
    </row>
    <row r="109">
      <c r="A109" s="15">
        <v>114.0</v>
      </c>
      <c r="B109" s="19" t="s">
        <v>1061</v>
      </c>
      <c r="C109" s="21" t="s">
        <v>1063</v>
      </c>
      <c r="D109" s="22" t="s">
        <v>1066</v>
      </c>
    </row>
    <row r="110">
      <c r="A110" s="15">
        <v>45.0</v>
      </c>
      <c r="B110" s="19" t="s">
        <v>1070</v>
      </c>
      <c r="C110" s="20" t="s">
        <v>1071</v>
      </c>
      <c r="D110" s="19" t="s">
        <v>1074</v>
      </c>
    </row>
    <row r="111">
      <c r="A111" s="15">
        <v>62.0</v>
      </c>
      <c r="B111" s="19" t="s">
        <v>1078</v>
      </c>
      <c r="C111" s="20" t="s">
        <v>1082</v>
      </c>
      <c r="D111" s="19" t="s">
        <v>1084</v>
      </c>
    </row>
    <row r="112">
      <c r="A112" s="15">
        <v>85.0</v>
      </c>
      <c r="B112" s="19" t="s">
        <v>1094</v>
      </c>
      <c r="C112" s="20" t="s">
        <v>1095</v>
      </c>
      <c r="D112" s="19" t="s">
        <v>1098</v>
      </c>
    </row>
    <row r="113">
      <c r="A113" s="15">
        <v>27.0</v>
      </c>
      <c r="B113" s="19" t="s">
        <v>1103</v>
      </c>
      <c r="C113" s="20" t="s">
        <v>1105</v>
      </c>
      <c r="D113" s="19" t="s">
        <v>1107</v>
      </c>
    </row>
    <row r="114">
      <c r="A114" s="15">
        <v>76.0</v>
      </c>
      <c r="B114" s="19" t="s">
        <v>1113</v>
      </c>
      <c r="C114" s="20" t="s">
        <v>1115</v>
      </c>
      <c r="D114" s="19" t="s">
        <v>1116</v>
      </c>
    </row>
    <row r="115">
      <c r="A115" s="15">
        <v>99.0</v>
      </c>
      <c r="B115" s="19" t="s">
        <v>65</v>
      </c>
      <c r="C115" s="20" t="s">
        <v>1123</v>
      </c>
      <c r="D115" s="19" t="s">
        <v>67</v>
      </c>
    </row>
    <row r="116">
      <c r="A116" s="15">
        <v>107.0</v>
      </c>
      <c r="B116" s="27" t="s">
        <v>1131</v>
      </c>
      <c r="C116" s="28" t="s">
        <v>1142</v>
      </c>
      <c r="D116" s="27" t="s">
        <v>378</v>
      </c>
    </row>
    <row r="117">
      <c r="A117" s="15">
        <v>1.0</v>
      </c>
      <c r="B117" s="19" t="s">
        <v>4</v>
      </c>
      <c r="C117" s="20" t="s">
        <v>5</v>
      </c>
      <c r="D117" s="19" t="s">
        <v>7</v>
      </c>
    </row>
    <row r="118">
      <c r="A118" s="15">
        <v>21.0</v>
      </c>
      <c r="B118" s="19" t="s">
        <v>1159</v>
      </c>
      <c r="C118" s="20" t="s">
        <v>1161</v>
      </c>
      <c r="D118" s="19" t="s">
        <v>7</v>
      </c>
    </row>
    <row r="119">
      <c r="A119" s="15">
        <v>133.0</v>
      </c>
      <c r="B119" s="19" t="s">
        <v>1167</v>
      </c>
      <c r="C119" s="21" t="s">
        <v>1170</v>
      </c>
      <c r="D119" s="22" t="s">
        <v>7</v>
      </c>
    </row>
    <row r="120">
      <c r="A120" s="15">
        <v>22.0</v>
      </c>
      <c r="B120" s="19" t="s">
        <v>1176</v>
      </c>
      <c r="C120" s="20" t="s">
        <v>1179</v>
      </c>
      <c r="D120" s="19" t="s">
        <v>1181</v>
      </c>
    </row>
    <row r="121">
      <c r="A121" s="15">
        <v>20.0</v>
      </c>
      <c r="B121" s="19" t="s">
        <v>1185</v>
      </c>
      <c r="C121" s="20" t="s">
        <v>1187</v>
      </c>
      <c r="D121" s="19" t="s">
        <v>1190</v>
      </c>
    </row>
    <row r="122">
      <c r="A122" s="15">
        <v>74.0</v>
      </c>
      <c r="B122" s="19" t="s">
        <v>1194</v>
      </c>
      <c r="C122" s="20" t="s">
        <v>1196</v>
      </c>
      <c r="D122" s="19" t="s">
        <v>1199</v>
      </c>
    </row>
    <row r="123">
      <c r="A123" s="15">
        <v>47.0</v>
      </c>
      <c r="B123" s="19" t="s">
        <v>1204</v>
      </c>
      <c r="C123" s="20" t="s">
        <v>1206</v>
      </c>
      <c r="D123" s="19" t="s">
        <v>1208</v>
      </c>
    </row>
    <row r="124">
      <c r="A124" s="15">
        <v>33.0</v>
      </c>
      <c r="B124" s="19" t="s">
        <v>1213</v>
      </c>
      <c r="C124" s="20" t="s">
        <v>1216</v>
      </c>
      <c r="D124" s="19" t="s">
        <v>1217</v>
      </c>
    </row>
    <row r="125">
      <c r="A125" s="15">
        <v>131.0</v>
      </c>
      <c r="B125" s="19" t="s">
        <v>1221</v>
      </c>
      <c r="C125" s="21" t="s">
        <v>1224</v>
      </c>
      <c r="D125" s="22" t="s">
        <v>1217</v>
      </c>
    </row>
    <row r="126">
      <c r="A126" s="15">
        <v>58.0</v>
      </c>
      <c r="B126" s="19" t="s">
        <v>1229</v>
      </c>
      <c r="C126" s="20" t="s">
        <v>1232</v>
      </c>
      <c r="D126" s="19" t="s">
        <v>1233</v>
      </c>
    </row>
    <row r="127">
      <c r="A127" s="15">
        <v>125.0</v>
      </c>
      <c r="B127" s="19" t="s">
        <v>1238</v>
      </c>
      <c r="C127" s="21" t="s">
        <v>1239</v>
      </c>
      <c r="D127" s="22" t="s">
        <v>1233</v>
      </c>
    </row>
    <row r="128">
      <c r="A128" s="15">
        <v>18.0</v>
      </c>
      <c r="B128" s="19" t="s">
        <v>1244</v>
      </c>
      <c r="C128" s="20" t="s">
        <v>1246</v>
      </c>
      <c r="D128" s="19" t="s">
        <v>1248</v>
      </c>
    </row>
    <row r="129">
      <c r="A129" s="15">
        <v>80.0</v>
      </c>
      <c r="B129" s="19" t="s">
        <v>1252</v>
      </c>
      <c r="C129" s="20" t="s">
        <v>1345</v>
      </c>
      <c r="D129" s="19" t="s">
        <v>1348</v>
      </c>
    </row>
    <row r="130">
      <c r="A130" s="15">
        <v>44.0</v>
      </c>
      <c r="B130" s="19" t="s">
        <v>1353</v>
      </c>
      <c r="C130" s="20" t="s">
        <v>1356</v>
      </c>
      <c r="D130" s="19" t="s">
        <v>58</v>
      </c>
    </row>
    <row r="131">
      <c r="A131" s="15">
        <v>94.0</v>
      </c>
      <c r="B131" s="19" t="s">
        <v>55</v>
      </c>
      <c r="C131" s="20" t="s">
        <v>57</v>
      </c>
      <c r="D131" s="19" t="s">
        <v>58</v>
      </c>
    </row>
    <row r="132">
      <c r="A132" s="15">
        <v>135.0</v>
      </c>
      <c r="B132" s="19" t="s">
        <v>1366</v>
      </c>
      <c r="C132" s="21" t="s">
        <v>1368</v>
      </c>
      <c r="D132" s="22" t="s">
        <v>58</v>
      </c>
    </row>
    <row r="133">
      <c r="A133" s="15">
        <v>143.0</v>
      </c>
      <c r="B133" s="19" t="s">
        <v>1373</v>
      </c>
      <c r="C133" s="21" t="s">
        <v>1376</v>
      </c>
      <c r="D133" s="22" t="s">
        <v>58</v>
      </c>
    </row>
    <row r="134">
      <c r="A134" s="15">
        <v>90.0</v>
      </c>
      <c r="B134" s="19" t="s">
        <v>1380</v>
      </c>
      <c r="C134" s="20" t="s">
        <v>1382</v>
      </c>
      <c r="D134" s="19" t="s">
        <v>1384</v>
      </c>
    </row>
    <row r="135">
      <c r="A135" s="15">
        <v>29.0</v>
      </c>
      <c r="B135" s="19" t="s">
        <v>1388</v>
      </c>
      <c r="C135" s="20" t="s">
        <v>1391</v>
      </c>
      <c r="D135" s="19" t="s">
        <v>1392</v>
      </c>
    </row>
    <row r="136">
      <c r="A136" s="15">
        <v>77.0</v>
      </c>
      <c r="B136" s="19" t="s">
        <v>1396</v>
      </c>
      <c r="C136" s="20" t="s">
        <v>1399</v>
      </c>
      <c r="D136" s="19" t="s">
        <v>1283</v>
      </c>
    </row>
    <row r="137">
      <c r="A137" s="15">
        <v>82.0</v>
      </c>
      <c r="B137" s="19" t="s">
        <v>1405</v>
      </c>
      <c r="C137" s="20" t="s">
        <v>1408</v>
      </c>
      <c r="D137" s="19" t="s">
        <v>1410</v>
      </c>
    </row>
    <row r="138">
      <c r="A138" s="15">
        <v>97.0</v>
      </c>
      <c r="B138" s="19" t="s">
        <v>1414</v>
      </c>
      <c r="C138" s="20" t="s">
        <v>1417</v>
      </c>
      <c r="D138" s="19" t="s">
        <v>1419</v>
      </c>
    </row>
    <row r="139">
      <c r="A139" s="15">
        <v>48.0</v>
      </c>
      <c r="B139" s="19" t="s">
        <v>1422</v>
      </c>
      <c r="C139" s="20" t="s">
        <v>1424</v>
      </c>
      <c r="D139" s="19" t="s">
        <v>1407</v>
      </c>
    </row>
    <row r="140">
      <c r="A140" s="15">
        <v>128.0</v>
      </c>
      <c r="B140" s="19" t="s">
        <v>1426</v>
      </c>
      <c r="C140" s="21" t="s">
        <v>1427</v>
      </c>
      <c r="D140" s="22" t="s">
        <v>1407</v>
      </c>
    </row>
    <row r="141">
      <c r="A141" s="15">
        <v>86.0</v>
      </c>
      <c r="B141" s="19" t="s">
        <v>1431</v>
      </c>
      <c r="C141" s="20" t="s">
        <v>1433</v>
      </c>
      <c r="D141" s="19" t="s">
        <v>1435</v>
      </c>
    </row>
    <row r="142">
      <c r="A142" s="15">
        <v>98.0</v>
      </c>
      <c r="B142" s="19" t="s">
        <v>59</v>
      </c>
      <c r="C142" s="20" t="s">
        <v>1437</v>
      </c>
      <c r="D142" s="19" t="s">
        <v>63</v>
      </c>
    </row>
    <row r="143">
      <c r="A143" s="15">
        <v>34.0</v>
      </c>
      <c r="B143" s="19" t="s">
        <v>1442</v>
      </c>
      <c r="C143" s="20" t="s">
        <v>1443</v>
      </c>
      <c r="D143" s="19" t="s">
        <v>1445</v>
      </c>
    </row>
    <row r="144">
      <c r="A144" s="15">
        <v>23.0</v>
      </c>
      <c r="B144" s="19" t="s">
        <v>1449</v>
      </c>
      <c r="C144" s="20" t="s">
        <v>1451</v>
      </c>
      <c r="D144" s="19" t="s">
        <v>1452</v>
      </c>
    </row>
    <row r="145">
      <c r="A145" s="15">
        <v>106.0</v>
      </c>
      <c r="B145" s="19" t="s">
        <v>1455</v>
      </c>
      <c r="C145" s="20" t="s">
        <v>1456</v>
      </c>
      <c r="D145" s="19" t="s">
        <v>1452</v>
      </c>
    </row>
    <row r="146">
      <c r="A146" s="15">
        <v>130.0</v>
      </c>
      <c r="B146" s="19" t="s">
        <v>1460</v>
      </c>
      <c r="C146" s="21" t="s">
        <v>1462</v>
      </c>
      <c r="D146" s="22" t="s">
        <v>1452</v>
      </c>
    </row>
    <row r="147">
      <c r="A147" s="15">
        <v>25.0</v>
      </c>
      <c r="B147" s="19" t="s">
        <v>1464</v>
      </c>
      <c r="C147" s="20" t="s">
        <v>1466</v>
      </c>
      <c r="D147" s="19" t="s">
        <v>32</v>
      </c>
    </row>
    <row r="148">
      <c r="A148" s="15">
        <v>69.0</v>
      </c>
      <c r="B148" s="19" t="s">
        <v>28</v>
      </c>
      <c r="C148" s="20" t="s">
        <v>30</v>
      </c>
      <c r="D148" s="19" t="s">
        <v>32</v>
      </c>
    </row>
    <row r="149">
      <c r="A149" s="15">
        <v>24.0</v>
      </c>
      <c r="B149" s="19" t="s">
        <v>1474</v>
      </c>
      <c r="C149" s="20" t="s">
        <v>1477</v>
      </c>
      <c r="D149" s="19" t="s">
        <v>1479</v>
      </c>
    </row>
    <row r="150">
      <c r="A150" s="29"/>
      <c r="D150" s="2">
        <f>IFERROR(__xludf.DUMMYFUNCTION("COUNTUNIQUE(D3:D149)"),82.0)</f>
        <v>82</v>
      </c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  <row r="972">
      <c r="A972" s="29"/>
    </row>
    <row r="973">
      <c r="A973" s="29"/>
    </row>
    <row r="974">
      <c r="A974" s="29"/>
    </row>
    <row r="975">
      <c r="A975" s="29"/>
    </row>
    <row r="976">
      <c r="A976" s="29"/>
    </row>
    <row r="977">
      <c r="A977" s="29"/>
    </row>
    <row r="978">
      <c r="A978" s="29"/>
    </row>
    <row r="979">
      <c r="A979" s="29"/>
    </row>
    <row r="980">
      <c r="A980" s="29"/>
    </row>
    <row r="981">
      <c r="A981" s="29"/>
    </row>
    <row r="982">
      <c r="A982" s="29"/>
    </row>
    <row r="983">
      <c r="A983" s="29"/>
    </row>
    <row r="984">
      <c r="A984" s="29"/>
    </row>
    <row r="985">
      <c r="A985" s="29"/>
    </row>
    <row r="986">
      <c r="A986" s="29"/>
    </row>
    <row r="987">
      <c r="A987" s="29"/>
    </row>
    <row r="988">
      <c r="A988" s="29"/>
    </row>
    <row r="989">
      <c r="A989" s="29"/>
    </row>
    <row r="990">
      <c r="A990" s="29"/>
    </row>
    <row r="991">
      <c r="A991" s="29"/>
    </row>
    <row r="992">
      <c r="A992" s="29"/>
    </row>
    <row r="993">
      <c r="A993" s="29"/>
    </row>
    <row r="994">
      <c r="A994" s="29"/>
    </row>
    <row r="995">
      <c r="A995" s="29"/>
    </row>
    <row r="996">
      <c r="A996" s="29"/>
    </row>
    <row r="997">
      <c r="A997" s="29"/>
    </row>
    <row r="998">
      <c r="A998" s="29"/>
    </row>
    <row r="999">
      <c r="A999" s="29"/>
    </row>
    <row r="1000">
      <c r="A1000" s="29"/>
    </row>
  </sheetData>
  <autoFilter ref="$A$2:$Z$150">
    <sortState ref="A2:Z150">
      <sortCondition ref="D2:D150"/>
    </sortState>
  </autoFilter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5" max="5" width="34.5"/>
  </cols>
  <sheetData>
    <row r="1">
      <c r="A1" s="1"/>
    </row>
    <row r="2">
      <c r="A2" s="1" t="s">
        <v>27</v>
      </c>
      <c r="B2" s="2" t="s">
        <v>29</v>
      </c>
      <c r="C2" s="2" t="s">
        <v>31</v>
      </c>
      <c r="E2" s="2" t="str">
        <f>IFERROR(__xludf.DUMMYFUNCTION("REGEXREPLACE(A2,""^Trường\s*"","""")"),"Tiểu học Hà Lan")</f>
        <v>Tiểu học Hà Lan</v>
      </c>
    </row>
    <row r="3">
      <c r="A3" s="1" t="s">
        <v>33</v>
      </c>
      <c r="B3" s="2" t="s">
        <v>34</v>
      </c>
      <c r="C3" s="2" t="s">
        <v>31</v>
      </c>
      <c r="E3" s="2" t="str">
        <f>IFERROR(__xludf.DUMMYFUNCTION("REGEXREPLACE(A3,""^Trường\s*"","""")"),"Tiểu học Lam Sơn 3")</f>
        <v>Tiểu học Lam Sơn 3</v>
      </c>
    </row>
    <row r="4">
      <c r="A4" s="1" t="s">
        <v>37</v>
      </c>
      <c r="B4" s="2" t="s">
        <v>39</v>
      </c>
      <c r="C4" s="2" t="s">
        <v>31</v>
      </c>
      <c r="E4" s="2" t="str">
        <f>IFERROR(__xludf.DUMMYFUNCTION("REGEXREPLACE(A4,""^Trường\s*"","""")"),"Tiểu học Ba Đình")</f>
        <v>Tiểu học Ba Đình</v>
      </c>
    </row>
    <row r="5">
      <c r="A5" s="1" t="s">
        <v>41</v>
      </c>
      <c r="B5" s="2" t="s">
        <v>43</v>
      </c>
      <c r="C5" s="2" t="s">
        <v>31</v>
      </c>
      <c r="E5" s="2" t="str">
        <f>IFERROR(__xludf.DUMMYFUNCTION("REGEXREPLACE(A5,""^Trường\s*"","""")"),"Tiểu học Lam Sơn 1")</f>
        <v>Tiểu học Lam Sơn 1</v>
      </c>
    </row>
    <row r="6">
      <c r="A6" s="1" t="s">
        <v>46</v>
      </c>
      <c r="B6" s="2" t="s">
        <v>47</v>
      </c>
      <c r="C6" s="2" t="s">
        <v>31</v>
      </c>
      <c r="E6" s="2" t="str">
        <f>IFERROR(__xludf.DUMMYFUNCTION("REGEXREPLACE(A6,""^Trường\s*"","""")"),"Tiểu học Đông Sơn")</f>
        <v>Tiểu học Đông Sơn</v>
      </c>
    </row>
    <row r="7">
      <c r="A7" s="1" t="s">
        <v>49</v>
      </c>
      <c r="B7" s="2" t="s">
        <v>51</v>
      </c>
      <c r="C7" s="2" t="s">
        <v>31</v>
      </c>
      <c r="E7" s="2" t="str">
        <f>IFERROR(__xludf.DUMMYFUNCTION("REGEXREPLACE(A7,""^Trường\s*"","""")"),"tiểu học Hà Vinh")</f>
        <v>tiểu học Hà Vinh</v>
      </c>
    </row>
    <row r="8">
      <c r="A8" s="1" t="s">
        <v>53</v>
      </c>
      <c r="B8" s="2" t="s">
        <v>54</v>
      </c>
      <c r="C8" s="2" t="s">
        <v>56</v>
      </c>
      <c r="E8" s="2" t="str">
        <f>IFERROR(__xludf.DUMMYFUNCTION("REGEXREPLACE(A8,""^Trường\s*"","""")"),"Tiểu học Nguyên Bình")</f>
        <v>Tiểu học Nguyên Bình</v>
      </c>
    </row>
    <row r="9">
      <c r="A9" s="1" t="s">
        <v>60</v>
      </c>
      <c r="B9" s="2" t="s">
        <v>61</v>
      </c>
      <c r="C9" s="2" t="s">
        <v>56</v>
      </c>
      <c r="E9" s="2" t="str">
        <f>IFERROR(__xludf.DUMMYFUNCTION("REGEXREPLACE(A9,""^Trường\s*"","""")"),"Tiểu học Xuân Lâm")</f>
        <v>Tiểu học Xuân Lâm</v>
      </c>
    </row>
    <row r="10">
      <c r="A10" s="13" t="s">
        <v>64</v>
      </c>
      <c r="B10" s="2" t="s">
        <v>68</v>
      </c>
      <c r="C10" s="2" t="s">
        <v>56</v>
      </c>
      <c r="E10" s="2" t="str">
        <f>IFERROR(__xludf.DUMMYFUNCTION("REGEXREPLACE(A10,""^Trường\s*"","""")"),"TH&amp;THCS Hải Yến")</f>
        <v>TH&amp;THCS Hải Yến</v>
      </c>
    </row>
    <row r="11">
      <c r="A11" s="1" t="s">
        <v>70</v>
      </c>
      <c r="B11" s="2" t="s">
        <v>72</v>
      </c>
      <c r="C11" s="2" t="s">
        <v>73</v>
      </c>
      <c r="E11" s="2" t="str">
        <f>IFERROR(__xludf.DUMMYFUNCTION("REGEXREPLACE(A11,""^Trường\s*"","""")"),"Tiểu học Quảng Thắng")</f>
        <v>Tiểu học Quảng Thắng</v>
      </c>
    </row>
    <row r="12">
      <c r="A12" s="1" t="s">
        <v>74</v>
      </c>
      <c r="B12" s="2" t="s">
        <v>75</v>
      </c>
      <c r="C12" s="2" t="s">
        <v>73</v>
      </c>
      <c r="E12" s="2" t="str">
        <f>IFERROR(__xludf.DUMMYFUNCTION("REGEXREPLACE(A12,""^Trường\s*"","""")"),"TH, THCS&amp;THPT Nobel")</f>
        <v>TH, THCS&amp;THPT Nobel</v>
      </c>
    </row>
    <row r="13">
      <c r="A13" s="1" t="s">
        <v>78</v>
      </c>
      <c r="B13" s="2" t="s">
        <v>79</v>
      </c>
      <c r="C13" s="2" t="s">
        <v>73</v>
      </c>
      <c r="E13" s="2" t="str">
        <f>IFERROR(__xludf.DUMMYFUNCTION("REGEXREPLACE(A13,""^Trường\s*"","""")"),"Tiểu học Đông Hưng")</f>
        <v>Tiểu học Đông Hưng</v>
      </c>
    </row>
    <row r="14">
      <c r="A14" s="1" t="s">
        <v>81</v>
      </c>
      <c r="B14" s="2" t="s">
        <v>83</v>
      </c>
      <c r="C14" s="2" t="s">
        <v>73</v>
      </c>
      <c r="E14" s="2" t="str">
        <f>IFERROR(__xludf.DUMMYFUNCTION("REGEXREPLACE(A14,""^Trường\s*"","""")"),"Tiểu học Đông Văn")</f>
        <v>Tiểu học Đông Văn</v>
      </c>
    </row>
    <row r="15">
      <c r="A15" s="1" t="s">
        <v>85</v>
      </c>
      <c r="B15" s="2" t="s">
        <v>86</v>
      </c>
      <c r="C15" s="2" t="s">
        <v>73</v>
      </c>
      <c r="E15" s="2" t="str">
        <f>IFERROR(__xludf.DUMMYFUNCTION("REGEXREPLACE(A15,""^Trường\s*"","""")"),"Tiểu học Đông Quang")</f>
        <v>Tiểu học Đông Quang</v>
      </c>
    </row>
    <row r="16">
      <c r="A16" s="1" t="s">
        <v>90</v>
      </c>
      <c r="B16" s="2" t="s">
        <v>91</v>
      </c>
      <c r="C16" s="2" t="s">
        <v>73</v>
      </c>
      <c r="E16" s="2" t="str">
        <f>IFERROR(__xludf.DUMMYFUNCTION("REGEXREPLACE(A16,""^Trường\s*"","""")"),"TH&amp;THCS Đông Vinh")</f>
        <v>TH&amp;THCS Đông Vinh</v>
      </c>
    </row>
    <row r="17">
      <c r="A17" s="1" t="s">
        <v>93</v>
      </c>
      <c r="B17" s="2" t="s">
        <v>95</v>
      </c>
      <c r="C17" s="2" t="s">
        <v>73</v>
      </c>
      <c r="E17" s="2" t="str">
        <f>IFERROR(__xludf.DUMMYFUNCTION("REGEXREPLACE(A17,""^Trường\s*"","""")"),"TH&amp;THCS Đông Nam")</f>
        <v>TH&amp;THCS Đông Nam</v>
      </c>
    </row>
    <row r="18">
      <c r="A18" s="1" t="s">
        <v>96</v>
      </c>
      <c r="B18" s="2" t="s">
        <v>98</v>
      </c>
      <c r="C18" s="2" t="s">
        <v>73</v>
      </c>
      <c r="E18" s="2" t="str">
        <f>IFERROR(__xludf.DUMMYFUNCTION("REGEXREPLACE(A18,""^Trường\s*"","""")"),"TH&amp;THCS Đông Yên")</f>
        <v>TH&amp;THCS Đông Yên</v>
      </c>
    </row>
    <row r="19">
      <c r="A19" s="1" t="s">
        <v>101</v>
      </c>
      <c r="B19" s="2" t="s">
        <v>102</v>
      </c>
      <c r="C19" s="2" t="s">
        <v>73</v>
      </c>
      <c r="E19" s="2" t="str">
        <f>IFERROR(__xludf.DUMMYFUNCTION("REGEXREPLACE(A19,""^Trường\s*"","""")"),"TH&amp;THCS Đông Phú")</f>
        <v>TH&amp;THCS Đông Phú</v>
      </c>
    </row>
    <row r="20">
      <c r="A20" s="1" t="s">
        <v>15</v>
      </c>
      <c r="B20" s="2" t="s">
        <v>16</v>
      </c>
      <c r="C20" s="2" t="s">
        <v>17</v>
      </c>
      <c r="E20" s="2" t="str">
        <f>IFERROR(__xludf.DUMMYFUNCTION("REGEXREPLACE(A20,""^Trường\s*"","""")"),"TH, THCS và THPT Nobel School II")</f>
        <v>TH, THCS và THPT Nobel School II</v>
      </c>
    </row>
    <row r="21">
      <c r="A21" s="1" t="s">
        <v>103</v>
      </c>
      <c r="B21" s="2" t="s">
        <v>104</v>
      </c>
      <c r="C21" s="2" t="s">
        <v>17</v>
      </c>
      <c r="E21" s="2" t="str">
        <f>IFERROR(__xludf.DUMMYFUNCTION("REGEXREPLACE(A21,""^Trường\s*"","""")"),"Tiểu học Đông Tân")</f>
        <v>Tiểu học Đông Tân</v>
      </c>
    </row>
    <row r="22">
      <c r="A22" s="1" t="s">
        <v>105</v>
      </c>
      <c r="B22" s="2" t="s">
        <v>106</v>
      </c>
      <c r="C22" s="2" t="s">
        <v>17</v>
      </c>
      <c r="E22" s="2" t="str">
        <f>IFERROR(__xludf.DUMMYFUNCTION("REGEXREPLACE(A22,""^Trường\s*"","""")"),"tiểu học Đông Ninh")</f>
        <v>tiểu học Đông Ninh</v>
      </c>
    </row>
    <row r="23">
      <c r="A23" s="1" t="s">
        <v>110</v>
      </c>
      <c r="B23" s="2" t="s">
        <v>111</v>
      </c>
      <c r="C23" s="2" t="s">
        <v>17</v>
      </c>
      <c r="E23" s="2" t="str">
        <f>IFERROR(__xludf.DUMMYFUNCTION("REGEXREPLACE(A23,""^Trường\s*"","""")"),"Tiểu học Lê Thế Long")</f>
        <v>Tiểu học Lê Thế Long</v>
      </c>
    </row>
    <row r="24">
      <c r="A24" s="1" t="s">
        <v>112</v>
      </c>
      <c r="B24" s="2" t="s">
        <v>114</v>
      </c>
      <c r="C24" s="2" t="s">
        <v>17</v>
      </c>
      <c r="E24" s="2" t="str">
        <f>IFERROR(__xludf.DUMMYFUNCTION("REGEXREPLACE(A24,""^Trường\s*"","""")"),"TH&amp;THCS Đông Minh")</f>
        <v>TH&amp;THCS Đông Minh</v>
      </c>
    </row>
    <row r="25">
      <c r="A25" s="1" t="s">
        <v>116</v>
      </c>
      <c r="B25" s="2" t="s">
        <v>117</v>
      </c>
      <c r="C25" s="2" t="s">
        <v>17</v>
      </c>
      <c r="E25" s="2" t="str">
        <f>IFERROR(__xludf.DUMMYFUNCTION("REGEXREPLACE(A25,""^Trường\s*"","""")"),"TH&amp;THCS Đông Hoàng")</f>
        <v>TH&amp;THCS Đông Hoàng</v>
      </c>
    </row>
    <row r="26">
      <c r="A26" s="1" t="s">
        <v>119</v>
      </c>
      <c r="B26" s="2" t="s">
        <v>121</v>
      </c>
      <c r="C26" s="2" t="s">
        <v>17</v>
      </c>
      <c r="E26" s="2" t="str">
        <f>IFERROR(__xludf.DUMMYFUNCTION("REGEXREPLACE(A26,""^Trường\s*"","""")"),"TH&amp;THCS Đông Khê")</f>
        <v>TH&amp;THCS Đông Khê</v>
      </c>
    </row>
    <row r="27">
      <c r="A27" s="1" t="s">
        <v>122</v>
      </c>
      <c r="B27" s="2" t="s">
        <v>123</v>
      </c>
      <c r="C27" s="2" t="s">
        <v>17</v>
      </c>
      <c r="E27" s="2" t="str">
        <f>IFERROR(__xludf.DUMMYFUNCTION("REGEXREPLACE(A27,""^Trường\s*"","""")"),"TH&amp;THCS Đông Thịnh")</f>
        <v>TH&amp;THCS Đông Thịnh</v>
      </c>
    </row>
    <row r="28">
      <c r="A28" s="1" t="s">
        <v>127</v>
      </c>
      <c r="B28" s="2" t="s">
        <v>128</v>
      </c>
      <c r="C28" s="2" t="s">
        <v>17</v>
      </c>
      <c r="E28" s="2" t="str">
        <f>IFERROR(__xludf.DUMMYFUNCTION("REGEXREPLACE(A28,""^Trường\s*"","""")"),"TH&amp;THCS Đông Anh")</f>
        <v>TH&amp;THCS Đông Anh</v>
      </c>
    </row>
    <row r="29">
      <c r="A29" s="1" t="s">
        <v>129</v>
      </c>
      <c r="B29" s="2" t="s">
        <v>130</v>
      </c>
      <c r="C29" s="2" t="s">
        <v>17</v>
      </c>
      <c r="E29" s="2" t="str">
        <f>IFERROR(__xludf.DUMMYFUNCTION("REGEXREPLACE(A29,""^Trường\s*"","""")"),"TH&amp;THCS Đông Hòa")</f>
        <v>TH&amp;THCS Đông Hòa</v>
      </c>
    </row>
    <row r="30">
      <c r="A30" s="1" t="s">
        <v>133</v>
      </c>
      <c r="B30" s="2" t="s">
        <v>134</v>
      </c>
      <c r="C30" s="2" t="s">
        <v>135</v>
      </c>
      <c r="E30" s="2" t="str">
        <f>IFERROR(__xludf.DUMMYFUNCTION("REGEXREPLACE(A30,""^Trường\s*"","""")"),"TH&amp;THCS Thiệu Châu")</f>
        <v>TH&amp;THCS Thiệu Châu</v>
      </c>
    </row>
    <row r="31">
      <c r="A31" s="1" t="s">
        <v>136</v>
      </c>
      <c r="B31" s="2" t="s">
        <v>138</v>
      </c>
      <c r="C31" s="2" t="s">
        <v>135</v>
      </c>
      <c r="E31" s="2" t="str">
        <f>IFERROR(__xludf.DUMMYFUNCTION("REGEXREPLACE(A31,""^Trường\s*"","""")"),"Tiểu học Thiệu Khánh")</f>
        <v>Tiểu học Thiệu Khánh</v>
      </c>
    </row>
    <row r="32">
      <c r="A32" s="1" t="s">
        <v>140</v>
      </c>
      <c r="B32" s="2" t="s">
        <v>141</v>
      </c>
      <c r="C32" s="2" t="s">
        <v>135</v>
      </c>
      <c r="E32" s="2" t="str">
        <f>IFERROR(__xludf.DUMMYFUNCTION("REGEXREPLACE(A32,""^Trường\s*"","""")"),"TH &amp; THCS Thiệu Tân")</f>
        <v>TH &amp; THCS Thiệu Tân</v>
      </c>
    </row>
    <row r="33">
      <c r="A33" s="1" t="s">
        <v>143</v>
      </c>
      <c r="B33" s="2" t="s">
        <v>145</v>
      </c>
      <c r="C33" s="2" t="s">
        <v>135</v>
      </c>
      <c r="E33" s="2" t="str">
        <f>IFERROR(__xludf.DUMMYFUNCTION("REGEXREPLACE(A33,""^Trường\s*"","""")"),"THamp;THCS Thiệu Vân")</f>
        <v>THamp;THCS Thiệu Vân</v>
      </c>
    </row>
    <row r="34">
      <c r="A34" s="1" t="s">
        <v>146</v>
      </c>
      <c r="B34" s="2" t="s">
        <v>147</v>
      </c>
      <c r="C34" s="2" t="s">
        <v>135</v>
      </c>
      <c r="E34" s="2" t="str">
        <f>IFERROR(__xludf.DUMMYFUNCTION("REGEXREPLACE(A34,""^Trường\s*"","""")"),"TH&amp;THCS Thiệu Giao")</f>
        <v>TH&amp;THCS Thiệu Giao</v>
      </c>
    </row>
    <row r="35">
      <c r="A35" s="1" t="s">
        <v>150</v>
      </c>
      <c r="B35" s="2" t="s">
        <v>151</v>
      </c>
      <c r="C35" s="2" t="s">
        <v>135</v>
      </c>
      <c r="E35" s="2" t="str">
        <f>IFERROR(__xludf.DUMMYFUNCTION("REGEXREPLACE(A35,""^Trường\s*"","""")"),"Tiểu học Đông Lĩnh")</f>
        <v>Tiểu học Đông Lĩnh</v>
      </c>
    </row>
    <row r="36">
      <c r="A36" s="1" t="s">
        <v>152</v>
      </c>
      <c r="B36" s="2" t="s">
        <v>154</v>
      </c>
      <c r="C36" s="2" t="s">
        <v>135</v>
      </c>
      <c r="E36" s="2" t="str">
        <f>IFERROR(__xludf.DUMMYFUNCTION("REGEXREPLACE(A36,""^Trường\s*"","""")"),"Tiểu học Đông Tiến")</f>
        <v>Tiểu học Đông Tiến</v>
      </c>
    </row>
    <row r="37">
      <c r="A37" s="1" t="s">
        <v>156</v>
      </c>
      <c r="B37" s="2" t="s">
        <v>157</v>
      </c>
      <c r="C37" s="2" t="s">
        <v>135</v>
      </c>
      <c r="E37" s="2" t="str">
        <f>IFERROR(__xludf.DUMMYFUNCTION("REGEXREPLACE(A37,""^Trường\s*"","""")"),"TH&amp;THCS Đông Thanh")</f>
        <v>TH&amp;THCS Đông Thanh</v>
      </c>
    </row>
    <row r="38">
      <c r="A38" s="1" t="s">
        <v>11</v>
      </c>
      <c r="B38" s="2" t="s">
        <v>12</v>
      </c>
      <c r="C38" s="2" t="s">
        <v>13</v>
      </c>
      <c r="E38" s="2" t="str">
        <f>IFERROR(__xludf.DUMMYFUNCTION("REGEXREPLACE(A38,""^Trường\s*"","""")"),"TH, THCS&amp;THPT Hồng Đức")</f>
        <v>TH, THCS&amp;THPT Hồng Đức</v>
      </c>
    </row>
    <row r="39">
      <c r="A39" s="1" t="s">
        <v>160</v>
      </c>
      <c r="B39" s="2" t="s">
        <v>161</v>
      </c>
      <c r="C39" s="2" t="s">
        <v>13</v>
      </c>
      <c r="E39" s="2" t="str">
        <f>IFERROR(__xludf.DUMMYFUNCTION("REGEXREPLACE(A39,""^Trường\s*"","""")"),"Tiểu học Vietkids")</f>
        <v>Tiểu học Vietkids</v>
      </c>
    </row>
    <row r="40">
      <c r="A40" s="1" t="s">
        <v>69</v>
      </c>
      <c r="B40" s="2" t="s">
        <v>71</v>
      </c>
      <c r="C40" s="2" t="s">
        <v>13</v>
      </c>
      <c r="E40" s="2" t="str">
        <f>IFERROR(__xludf.DUMMYFUNCTION("REGEXREPLACE(A40,""^Trường\s*"","""")"),"TH, THCS&amp;THPT Vinschool Star City")</f>
        <v>TH, THCS&amp;THPT Vinschool Star City</v>
      </c>
    </row>
    <row r="41">
      <c r="A41" s="1" t="s">
        <v>165</v>
      </c>
      <c r="B41" s="2" t="s">
        <v>167</v>
      </c>
      <c r="C41" s="2" t="s">
        <v>13</v>
      </c>
      <c r="E41" s="2" t="str">
        <f>IFERROR(__xludf.DUMMYFUNCTION("REGEXREPLACE(A41,""^Trường\s*"","""")"),"Tiểu học Đông Vệ 1")</f>
        <v>Tiểu học Đông Vệ 1</v>
      </c>
    </row>
    <row r="42">
      <c r="A42" s="1" t="s">
        <v>168</v>
      </c>
      <c r="B42" s="2" t="s">
        <v>169</v>
      </c>
      <c r="C42" s="2" t="s">
        <v>13</v>
      </c>
      <c r="E42" s="2" t="str">
        <f>IFERROR(__xludf.DUMMYFUNCTION("REGEXREPLACE(A42,""^Trường\s*"","""")"),"Tiểu học Đông Vệ 2")</f>
        <v>Tiểu học Đông Vệ 2</v>
      </c>
    </row>
    <row r="43">
      <c r="A43" s="1" t="s">
        <v>172</v>
      </c>
      <c r="B43" s="2" t="s">
        <v>173</v>
      </c>
      <c r="C43" s="2" t="s">
        <v>13</v>
      </c>
      <c r="E43" s="2" t="str">
        <f>IFERROR(__xludf.DUMMYFUNCTION("REGEXREPLACE(A43,""^Trường\s*"","""")"),"Tiểu học Nguyễn Văn Trỗi")</f>
        <v>Tiểu học Nguyễn Văn Trỗi</v>
      </c>
    </row>
    <row r="44">
      <c r="A44" s="1" t="s">
        <v>37</v>
      </c>
      <c r="B44" s="2" t="s">
        <v>176</v>
      </c>
      <c r="C44" s="2" t="s">
        <v>13</v>
      </c>
      <c r="E44" s="2" t="str">
        <f>IFERROR(__xludf.DUMMYFUNCTION("REGEXREPLACE(A44,""^Trường\s*"","""")"),"Tiểu học Ba Đình")</f>
        <v>Tiểu học Ba Đình</v>
      </c>
    </row>
    <row r="45">
      <c r="A45" s="1" t="s">
        <v>177</v>
      </c>
      <c r="B45" s="2" t="s">
        <v>179</v>
      </c>
      <c r="C45" s="2" t="s">
        <v>13</v>
      </c>
      <c r="E45" s="2" t="str">
        <f>IFERROR(__xludf.DUMMYFUNCTION("REGEXREPLACE(A45,""^Trường\s*"","""")"),"Tiểu học Lê Văn Tám")</f>
        <v>Tiểu học Lê Văn Tám</v>
      </c>
    </row>
    <row r="46">
      <c r="A46" s="1" t="s">
        <v>181</v>
      </c>
      <c r="B46" s="2" t="s">
        <v>182</v>
      </c>
      <c r="C46" s="2" t="s">
        <v>13</v>
      </c>
      <c r="E46" s="2" t="str">
        <f>IFERROR(__xludf.DUMMYFUNCTION("REGEXREPLACE(A46,""^Trường\s*"","""")"),"Tiểu học Tân Sơn")</f>
        <v>Tiểu học Tân Sơn</v>
      </c>
    </row>
    <row r="47">
      <c r="A47" s="1" t="s">
        <v>185</v>
      </c>
      <c r="B47" s="2" t="s">
        <v>186</v>
      </c>
      <c r="C47" s="2" t="s">
        <v>13</v>
      </c>
      <c r="E47" s="2" t="str">
        <f>IFERROR(__xludf.DUMMYFUNCTION("REGEXREPLACE(A47,""^Trường\s*"","""")"),"Tiểu học Trần Phú")</f>
        <v>Tiểu học Trần Phú</v>
      </c>
    </row>
    <row r="48">
      <c r="A48" s="1" t="s">
        <v>187</v>
      </c>
      <c r="B48" s="2" t="s">
        <v>189</v>
      </c>
      <c r="C48" s="2" t="s">
        <v>13</v>
      </c>
      <c r="E48" s="2" t="str">
        <f>IFERROR(__xludf.DUMMYFUNCTION("REGEXREPLACE(A48,""^Trường\s*"","""")"),"Tiểu học Hoàng Hoa Thám")</f>
        <v>Tiểu học Hoàng Hoa Thám</v>
      </c>
    </row>
    <row r="49">
      <c r="A49" s="1" t="s">
        <v>191</v>
      </c>
      <c r="B49" s="2" t="s">
        <v>192</v>
      </c>
      <c r="C49" s="2" t="s">
        <v>13</v>
      </c>
      <c r="E49" s="2" t="str">
        <f>IFERROR(__xludf.DUMMYFUNCTION("REGEXREPLACE(A49,""^Trường\s*"","""")"),"Tiểu học Điện Biên 1")</f>
        <v>Tiểu học Điện Biên 1</v>
      </c>
    </row>
    <row r="50">
      <c r="A50" s="1" t="s">
        <v>195</v>
      </c>
      <c r="B50" s="2" t="s">
        <v>196</v>
      </c>
      <c r="C50" s="2" t="s">
        <v>13</v>
      </c>
      <c r="E50" s="2" t="str">
        <f>IFERROR(__xludf.DUMMYFUNCTION("REGEXREPLACE(A50,""^Trường\s*"","""")"),"Tiểu học Điện Biên 2")</f>
        <v>Tiểu học Điện Biên 2</v>
      </c>
    </row>
    <row r="51">
      <c r="A51" s="1" t="s">
        <v>197</v>
      </c>
      <c r="B51" s="2" t="s">
        <v>198</v>
      </c>
      <c r="C51" s="2" t="s">
        <v>13</v>
      </c>
      <c r="E51" s="2" t="str">
        <f>IFERROR(__xludf.DUMMYFUNCTION("REGEXREPLACE(A51,""^Trường\s*"","""")"),"Tiểu học Đông Thọ")</f>
        <v>Tiểu học Đông Thọ</v>
      </c>
    </row>
    <row r="52">
      <c r="A52" s="1" t="s">
        <v>199</v>
      </c>
      <c r="B52" s="2" t="s">
        <v>200</v>
      </c>
      <c r="C52" s="2" t="s">
        <v>13</v>
      </c>
      <c r="E52" s="2" t="str">
        <f>IFERROR(__xludf.DUMMYFUNCTION("REGEXREPLACE(A52,""^Trường\s*"","""")"),"Tiểu học Đông Hương")</f>
        <v>Tiểu học Đông Hương</v>
      </c>
    </row>
    <row r="53">
      <c r="A53" s="1" t="s">
        <v>204</v>
      </c>
      <c r="B53" s="2" t="s">
        <v>205</v>
      </c>
      <c r="C53" s="2" t="s">
        <v>13</v>
      </c>
      <c r="E53" s="2" t="str">
        <f>IFERROR(__xludf.DUMMYFUNCTION("REGEXREPLACE(A53,""^Trường\s*"","""")"),"Tiểu học Đông Hải 1")</f>
        <v>Tiểu học Đông Hải 1</v>
      </c>
    </row>
    <row r="54">
      <c r="A54" s="1" t="s">
        <v>207</v>
      </c>
      <c r="B54" s="2" t="s">
        <v>209</v>
      </c>
      <c r="C54" s="2" t="s">
        <v>13</v>
      </c>
      <c r="E54" s="2" t="str">
        <f>IFERROR(__xludf.DUMMYFUNCTION("REGEXREPLACE(A54,""^Trường\s*"","""")"),"Tiểu học Đông Hải 2")</f>
        <v>Tiểu học Đông Hải 2</v>
      </c>
    </row>
    <row r="55">
      <c r="A55" s="1" t="s">
        <v>210</v>
      </c>
      <c r="B55" s="2" t="s">
        <v>211</v>
      </c>
      <c r="C55" s="2" t="s">
        <v>13</v>
      </c>
      <c r="E55" s="2" t="str">
        <f>IFERROR(__xludf.DUMMYFUNCTION("REGEXREPLACE(A55,""^Trường\s*"","""")"),"Tiểu học Lý Tự Trọng")</f>
        <v>Tiểu học Lý Tự Trọng</v>
      </c>
    </row>
    <row r="56">
      <c r="A56" s="1" t="s">
        <v>214</v>
      </c>
      <c r="B56" s="2" t="s">
        <v>215</v>
      </c>
      <c r="C56" s="2" t="s">
        <v>13</v>
      </c>
      <c r="E56" s="2" t="str">
        <f>IFERROR(__xludf.DUMMYFUNCTION("REGEXREPLACE(A56,""^Trường\s*"","""")"),"Tiểu học Minh Khai 1")</f>
        <v>Tiểu học Minh Khai 1</v>
      </c>
    </row>
    <row r="57">
      <c r="A57" s="1" t="s">
        <v>216</v>
      </c>
      <c r="B57" s="2" t="s">
        <v>218</v>
      </c>
      <c r="C57" s="2" t="s">
        <v>13</v>
      </c>
      <c r="E57" s="2" t="str">
        <f>IFERROR(__xludf.DUMMYFUNCTION("REGEXREPLACE(A57,""^Trường\s*"","""")"),"Tiểu học Minh Khai 2")</f>
        <v>Tiểu học Minh Khai 2</v>
      </c>
    </row>
    <row r="58">
      <c r="A58" s="1" t="s">
        <v>76</v>
      </c>
      <c r="B58" s="2" t="s">
        <v>77</v>
      </c>
      <c r="C58" s="2" t="s">
        <v>13</v>
      </c>
      <c r="E58" s="2" t="str">
        <f>IFERROR(__xludf.DUMMYFUNCTION("REGEXREPLACE(A58,""^Trường\s*"","""")"),"TH, THCS&amp;THPT Đông Bắc Ga")</f>
        <v>TH, THCS&amp;THPT Đông Bắc Ga</v>
      </c>
    </row>
    <row r="59">
      <c r="A59" s="1" t="s">
        <v>222</v>
      </c>
      <c r="B59" s="2" t="s">
        <v>223</v>
      </c>
      <c r="C59" s="2" t="s">
        <v>13</v>
      </c>
      <c r="E59" s="2" t="str">
        <f>IFERROR(__xludf.DUMMYFUNCTION("REGEXREPLACE(A59,""^Trường\s*"","""")"),"Tiểu học Tân Phú Khang")</f>
        <v>Tiểu học Tân Phú Khang</v>
      </c>
    </row>
    <row r="60">
      <c r="A60" s="1" t="s">
        <v>80</v>
      </c>
      <c r="B60" s="2" t="s">
        <v>82</v>
      </c>
      <c r="C60" s="2" t="s">
        <v>13</v>
      </c>
      <c r="E60" s="2" t="str">
        <f>IFERROR(__xludf.DUMMYFUNCTION("REGEXREPLACE(A60,""^Trường\s*"","""")"),"TH, THCS&amp;THPT Fansipan")</f>
        <v>TH, THCS&amp;THPT Fansipan</v>
      </c>
    </row>
    <row r="61">
      <c r="A61" s="1" t="s">
        <v>193</v>
      </c>
      <c r="B61" s="2" t="s">
        <v>194</v>
      </c>
      <c r="C61" s="2" t="s">
        <v>13</v>
      </c>
      <c r="E61" s="2" t="str">
        <f>IFERROR(__xludf.DUMMYFUNCTION("REGEXREPLACE(A61,""^Trường\s*"","""")"),"TH&amp;THCS Newton TH")</f>
        <v>TH&amp;THCS Newton TH</v>
      </c>
    </row>
    <row r="62">
      <c r="A62" s="1" t="s">
        <v>228</v>
      </c>
      <c r="B62" s="2" t="s">
        <v>229</v>
      </c>
      <c r="C62" s="2" t="s">
        <v>231</v>
      </c>
      <c r="E62" s="2" t="str">
        <f>IFERROR(__xludf.DUMMYFUNCTION("REGEXREPLACE(A62,""^Trường\s*"","""")"),"Tiểu học Tĩnh Hải")</f>
        <v>Tiểu học Tĩnh Hải</v>
      </c>
    </row>
    <row r="63">
      <c r="A63" s="1" t="s">
        <v>233</v>
      </c>
      <c r="B63" s="2" t="s">
        <v>234</v>
      </c>
      <c r="C63" s="2" t="s">
        <v>231</v>
      </c>
      <c r="E63" s="2" t="str">
        <f>IFERROR(__xludf.DUMMYFUNCTION("REGEXREPLACE(A63,""^Trường\s*"","""")"),"Tiểu học Hải Bình")</f>
        <v>Tiểu học Hải Bình</v>
      </c>
    </row>
    <row r="64">
      <c r="A64" s="1" t="s">
        <v>237</v>
      </c>
      <c r="B64" s="2" t="s">
        <v>239</v>
      </c>
      <c r="C64" s="2" t="s">
        <v>231</v>
      </c>
      <c r="E64" s="2" t="str">
        <f>IFERROR(__xludf.DUMMYFUNCTION("REGEXREPLACE(A64,""^Trường\s*"","""")"),"Tiểu học Mai Lâm")</f>
        <v>Tiểu học Mai Lâm</v>
      </c>
    </row>
    <row r="65">
      <c r="A65" s="1" t="s">
        <v>240</v>
      </c>
      <c r="B65" s="2" t="s">
        <v>242</v>
      </c>
      <c r="C65" s="2" t="s">
        <v>231</v>
      </c>
      <c r="E65" s="2" t="str">
        <f>IFERROR(__xludf.DUMMYFUNCTION("REGEXREPLACE(A65,""^Trường\s*"","""")"),"THamp;THCS Queensland")</f>
        <v>THamp;THCS Queensland</v>
      </c>
    </row>
    <row r="66">
      <c r="A66" s="1" t="s">
        <v>244</v>
      </c>
      <c r="B66" s="2" t="s">
        <v>245</v>
      </c>
      <c r="C66" s="2" t="s">
        <v>246</v>
      </c>
      <c r="E66" s="2" t="str">
        <f>IFERROR(__xludf.DUMMYFUNCTION("REGEXREPLACE(A66,""^Trường\s*"","""")"),"Tiểu học Ninh Hải")</f>
        <v>Tiểu học Ninh Hải</v>
      </c>
    </row>
    <row r="67">
      <c r="A67" s="1" t="s">
        <v>249</v>
      </c>
      <c r="B67" s="2" t="s">
        <v>250</v>
      </c>
      <c r="C67" s="2" t="s">
        <v>246</v>
      </c>
      <c r="E67" s="2" t="str">
        <f>IFERROR(__xludf.DUMMYFUNCTION("REGEXREPLACE(A67,""^Trường\s*"","""")"),"Tiểu học Hải Lĩnh")</f>
        <v>Tiểu học Hải Lĩnh</v>
      </c>
    </row>
    <row r="68">
      <c r="A68" s="18" t="s">
        <v>253</v>
      </c>
      <c r="B68" s="2" t="s">
        <v>256</v>
      </c>
      <c r="C68" s="2" t="s">
        <v>246</v>
      </c>
      <c r="E68" s="2" t="str">
        <f>IFERROR(__xludf.DUMMYFUNCTION("REGEXREPLACE(A68,""^Trường\s*"","""")"),"TH amp; THCS Định Hải")</f>
        <v>TH amp; THCS Định Hải</v>
      </c>
    </row>
    <row r="69">
      <c r="A69" s="1" t="s">
        <v>257</v>
      </c>
      <c r="B69" s="2" t="s">
        <v>259</v>
      </c>
      <c r="C69" s="2" t="s">
        <v>100</v>
      </c>
      <c r="E69" s="2" t="str">
        <f>IFERROR(__xludf.DUMMYFUNCTION("REGEXREPLACE(A69,""^Trường\s*"","""")"),"Tiểu học Nam Ngạn")</f>
        <v>Tiểu học Nam Ngạn</v>
      </c>
    </row>
    <row r="70">
      <c r="A70" s="1" t="s">
        <v>262</v>
      </c>
      <c r="B70" s="2" t="s">
        <v>263</v>
      </c>
      <c r="C70" s="2" t="s">
        <v>100</v>
      </c>
      <c r="E70" s="2" t="str">
        <f>IFERROR(__xludf.DUMMYFUNCTION("REGEXREPLACE(A70,""^Trường\s*"","""")"),"Tiểu học Nguyễn Bá Ngọc")</f>
        <v>Tiểu học Nguyễn Bá Ngọc</v>
      </c>
    </row>
    <row r="71">
      <c r="A71" s="1" t="s">
        <v>266</v>
      </c>
      <c r="B71" s="2" t="s">
        <v>267</v>
      </c>
      <c r="C71" s="2" t="s">
        <v>100</v>
      </c>
      <c r="E71" s="2" t="str">
        <f>IFERROR(__xludf.DUMMYFUNCTION("REGEXREPLACE(A71,""^Trường\s*"","""")"),"Tiểu học Hàm Rồng")</f>
        <v>Tiểu học Hàm Rồng</v>
      </c>
    </row>
    <row r="72">
      <c r="A72" s="1" t="s">
        <v>269</v>
      </c>
      <c r="B72" s="2" t="s">
        <v>270</v>
      </c>
      <c r="C72" s="2" t="s">
        <v>100</v>
      </c>
      <c r="E72" s="2" t="str">
        <f>IFERROR(__xludf.DUMMYFUNCTION("REGEXREPLACE(A72,""^Trường\s*"","""")"),"Tiểu học Đông Cương")</f>
        <v>Tiểu học Đông Cương</v>
      </c>
    </row>
    <row r="73">
      <c r="A73" s="1" t="s">
        <v>274</v>
      </c>
      <c r="B73" s="2" t="s">
        <v>275</v>
      </c>
      <c r="C73" s="2" t="s">
        <v>100</v>
      </c>
      <c r="E73" s="2" t="str">
        <f>IFERROR(__xludf.DUMMYFUNCTION("REGEXREPLACE(A73,""^Trường\s*"","""")"),"Tiểu học Thiệu Dương")</f>
        <v>Tiểu học Thiệu Dương</v>
      </c>
    </row>
    <row r="74">
      <c r="A74" s="1" t="s">
        <v>278</v>
      </c>
      <c r="B74" s="2" t="s">
        <v>281</v>
      </c>
      <c r="C74" s="2" t="s">
        <v>283</v>
      </c>
      <c r="E74" s="2" t="str">
        <f>IFERROR(__xludf.DUMMYFUNCTION("REGEXREPLACE(A74,""^Trường\s*"","""")"),"Tiểu học Quảng Minh")</f>
        <v>Tiểu học Quảng Minh</v>
      </c>
    </row>
    <row r="75">
      <c r="A75" s="1" t="s">
        <v>284</v>
      </c>
      <c r="B75" s="2" t="s">
        <v>285</v>
      </c>
      <c r="C75" s="2" t="s">
        <v>283</v>
      </c>
      <c r="E75" s="2" t="str">
        <f>IFERROR(__xludf.DUMMYFUNCTION("REGEXREPLACE(A75,""^Trường\s*"","""")"),"Tiểu học Quảng Vinh")</f>
        <v>Tiểu học Quảng Vinh</v>
      </c>
    </row>
    <row r="76">
      <c r="A76" s="1" t="s">
        <v>289</v>
      </c>
      <c r="B76" s="2" t="s">
        <v>291</v>
      </c>
      <c r="C76" s="2" t="s">
        <v>283</v>
      </c>
      <c r="E76" s="2" t="str">
        <f>IFERROR(__xludf.DUMMYFUNCTION("REGEXREPLACE(A76,""^Trường\s*"","""")"),"Tiểu học Quảng Hùng")</f>
        <v>Tiểu học Quảng Hùng</v>
      </c>
    </row>
    <row r="77">
      <c r="A77" s="1" t="s">
        <v>293</v>
      </c>
      <c r="B77" s="2" t="s">
        <v>295</v>
      </c>
      <c r="C77" s="2" t="s">
        <v>283</v>
      </c>
      <c r="E77" s="2" t="str">
        <f>IFERROR(__xludf.DUMMYFUNCTION("REGEXREPLACE(A77,""^Trường\s*"","""")"),"Tiểu học Quảng Đại")</f>
        <v>Tiểu học Quảng Đại</v>
      </c>
    </row>
    <row r="78">
      <c r="A78" s="1" t="s">
        <v>297</v>
      </c>
      <c r="B78" s="2" t="s">
        <v>298</v>
      </c>
      <c r="C78" s="2" t="s">
        <v>283</v>
      </c>
      <c r="E78" s="2" t="str">
        <f>IFERROR(__xludf.DUMMYFUNCTION("REGEXREPLACE(A78,""^Trường\s*"","""")"),"TH&amp;THCS Nguyễn Xuân Nguyên")</f>
        <v>TH&amp;THCS Nguyễn Xuân Nguyên</v>
      </c>
    </row>
    <row r="79">
      <c r="A79" s="1" t="s">
        <v>303</v>
      </c>
      <c r="B79" s="2" t="s">
        <v>305</v>
      </c>
      <c r="C79" s="2" t="s">
        <v>45</v>
      </c>
      <c r="E79" s="2" t="str">
        <f>IFERROR(__xludf.DUMMYFUNCTION("REGEXREPLACE(A79,""^Trường\s*"","""")"),"Tiểu Học Hải Hà")</f>
        <v>Tiểu Học Hải Hà</v>
      </c>
    </row>
    <row r="80">
      <c r="A80" s="1" t="s">
        <v>307</v>
      </c>
      <c r="B80" s="2" t="s">
        <v>309</v>
      </c>
      <c r="C80" s="2" t="s">
        <v>45</v>
      </c>
      <c r="E80" s="2" t="str">
        <f>IFERROR(__xludf.DUMMYFUNCTION("REGEXREPLACE(A80,""^Trường\s*"","""")"),"Tiểu học Nghi Sơn")</f>
        <v>Tiểu học Nghi Sơn</v>
      </c>
    </row>
    <row r="81">
      <c r="A81" s="1" t="s">
        <v>311</v>
      </c>
      <c r="B81" s="2" t="s">
        <v>312</v>
      </c>
      <c r="C81" s="2" t="s">
        <v>45</v>
      </c>
      <c r="E81" s="2" t="str">
        <f>IFERROR(__xludf.DUMMYFUNCTION("REGEXREPLACE(A81,""^Trường\s*"","""")"),"Tiểu học Hải Thượng")</f>
        <v>Tiểu học Hải Thượng</v>
      </c>
    </row>
    <row r="82">
      <c r="A82" s="1" t="s">
        <v>316</v>
      </c>
      <c r="B82" s="2" t="s">
        <v>319</v>
      </c>
      <c r="C82" s="2" t="s">
        <v>320</v>
      </c>
      <c r="E82" s="2" t="str">
        <f>IFERROR(__xludf.DUMMYFUNCTION("REGEXREPLACE(A82,""^Trường\s*"","""")"),"Tiểu học Thanh Sơn")</f>
        <v>Tiểu học Thanh Sơn</v>
      </c>
    </row>
    <row r="83">
      <c r="A83" s="1" t="s">
        <v>321</v>
      </c>
      <c r="B83" s="2" t="s">
        <v>323</v>
      </c>
      <c r="C83" s="2" t="s">
        <v>320</v>
      </c>
      <c r="E83" s="2" t="str">
        <f>IFERROR(__xludf.DUMMYFUNCTION("REGEXREPLACE(A83,""^Trường\s*"","""")"),"Tiểu học Hải Châu")</f>
        <v>Tiểu học Hải Châu</v>
      </c>
    </row>
    <row r="84">
      <c r="A84" s="1" t="s">
        <v>326</v>
      </c>
      <c r="B84" s="2" t="s">
        <v>327</v>
      </c>
      <c r="C84" s="2" t="s">
        <v>320</v>
      </c>
      <c r="E84" s="2" t="str">
        <f>IFERROR(__xludf.DUMMYFUNCTION("REGEXREPLACE(A84,""^Trường\s*"","""")"),"Tiểu học Hải Ninh")</f>
        <v>Tiểu học Hải Ninh</v>
      </c>
    </row>
    <row r="85">
      <c r="A85" s="1" t="s">
        <v>330</v>
      </c>
      <c r="B85" s="2" t="s">
        <v>332</v>
      </c>
      <c r="C85" s="2" t="s">
        <v>320</v>
      </c>
      <c r="E85" s="2" t="str">
        <f>IFERROR(__xludf.DUMMYFUNCTION("REGEXREPLACE(A85,""^Trường\s*"","""")"),"Tiểu học Thanh Thuỷ")</f>
        <v>Tiểu học Thanh Thuỷ</v>
      </c>
    </row>
    <row r="86">
      <c r="A86" s="1" t="s">
        <v>334</v>
      </c>
      <c r="B86" s="2" t="s">
        <v>335</v>
      </c>
      <c r="C86" s="2" t="s">
        <v>320</v>
      </c>
      <c r="E86" s="2" t="str">
        <f>IFERROR(__xludf.DUMMYFUNCTION("REGEXREPLACE(A86,""^Trường\s*"","""")"),"TH&amp;THCS Triêu Dương")</f>
        <v>TH&amp;THCS Triêu Dương</v>
      </c>
    </row>
    <row r="87">
      <c r="A87" s="1" t="s">
        <v>340</v>
      </c>
      <c r="B87" s="2" t="s">
        <v>341</v>
      </c>
      <c r="C87" s="2" t="s">
        <v>342</v>
      </c>
      <c r="E87" s="2" t="str">
        <f>IFERROR(__xludf.DUMMYFUNCTION("REGEXREPLACE(A87,""^Trường\s*"","""")"),"Tiểu học Tào Xuyên")</f>
        <v>Tiểu học Tào Xuyên</v>
      </c>
    </row>
    <row r="88">
      <c r="A88" s="1" t="s">
        <v>345</v>
      </c>
      <c r="B88" s="2" t="s">
        <v>347</v>
      </c>
      <c r="C88" s="2" t="s">
        <v>342</v>
      </c>
      <c r="E88" s="2" t="str">
        <f>IFERROR(__xludf.DUMMYFUNCTION("REGEXREPLACE(A88,""^Trường\s*"","""")"),"Tiểu học Hoằng Quang")</f>
        <v>Tiểu học Hoằng Quang</v>
      </c>
    </row>
    <row r="89">
      <c r="A89" s="1" t="s">
        <v>348</v>
      </c>
      <c r="B89" s="2" t="s">
        <v>351</v>
      </c>
      <c r="C89" s="2" t="s">
        <v>342</v>
      </c>
      <c r="E89" s="2" t="str">
        <f>IFERROR(__xludf.DUMMYFUNCTION("REGEXREPLACE(A89,""^Trường\s*"","""")"),"Tiểu học Hoằng Long")</f>
        <v>Tiểu học Hoằng Long</v>
      </c>
    </row>
    <row r="90">
      <c r="A90" s="1" t="s">
        <v>355</v>
      </c>
      <c r="B90" s="2" t="s">
        <v>356</v>
      </c>
      <c r="C90" s="2" t="s">
        <v>342</v>
      </c>
      <c r="E90" s="2" t="str">
        <f>IFERROR(__xludf.DUMMYFUNCTION("REGEXREPLACE(A90,""^Trường\s*"","""")"),"Tiểu học Hoằng Anh")</f>
        <v>Tiểu học Hoằng Anh</v>
      </c>
    </row>
    <row r="91">
      <c r="A91" s="1" t="s">
        <v>359</v>
      </c>
      <c r="B91" s="2" t="s">
        <v>362</v>
      </c>
      <c r="C91" s="2" t="s">
        <v>342</v>
      </c>
      <c r="E91" s="2" t="str">
        <f>IFERROR(__xludf.DUMMYFUNCTION("REGEXREPLACE(A91,""^Trường\s*"","""")"),"Tiểu học Hoằng Đại")</f>
        <v>Tiểu học Hoằng Đại</v>
      </c>
    </row>
    <row r="92">
      <c r="A92" s="1" t="s">
        <v>22</v>
      </c>
      <c r="B92" s="2" t="s">
        <v>23</v>
      </c>
      <c r="C92" s="2" t="s">
        <v>24</v>
      </c>
      <c r="E92" s="2" t="str">
        <f>IFERROR(__xludf.DUMMYFUNCTION("REGEXREPLACE(A92,""^Trường\s*"","""")"),"TH, THCS&amp;THPT FPT")</f>
        <v>TH, THCS&amp;THPT FPT</v>
      </c>
    </row>
    <row r="93">
      <c r="A93" s="1" t="s">
        <v>369</v>
      </c>
      <c r="B93" s="2" t="s">
        <v>370</v>
      </c>
      <c r="C93" s="2" t="s">
        <v>24</v>
      </c>
      <c r="E93" s="2" t="str">
        <f>IFERROR(__xludf.DUMMYFUNCTION("REGEXREPLACE(A93,""^Trường\s*"","""")"),"Tiểu học Quảng Hưng")</f>
        <v>Tiểu học Quảng Hưng</v>
      </c>
    </row>
    <row r="94">
      <c r="A94" s="1" t="s">
        <v>2991</v>
      </c>
      <c r="B94" s="2" t="s">
        <v>372</v>
      </c>
      <c r="C94" s="2" t="s">
        <v>24</v>
      </c>
      <c r="E94" s="2" t="str">
        <f>IFERROR(__xludf.DUMMYFUNCTION("REGEXREPLACE(A94,""^Trường\s*"","""")"),"TIỂU HỌC QUẢNG THÀNH")</f>
        <v>TIỂU HỌC QUẢNG THÀNH</v>
      </c>
    </row>
    <row r="95">
      <c r="A95" s="1" t="s">
        <v>377</v>
      </c>
      <c r="B95" s="2" t="s">
        <v>379</v>
      </c>
      <c r="C95" s="2" t="s">
        <v>24</v>
      </c>
      <c r="E95" s="2" t="str">
        <f>IFERROR(__xludf.DUMMYFUNCTION("REGEXREPLACE(A95,""^Trường\s*"","""")"),"Tiểu học Hermann Gmeiner")</f>
        <v>Tiểu học Hermann Gmeiner</v>
      </c>
    </row>
    <row r="96">
      <c r="A96" s="1" t="s">
        <v>87</v>
      </c>
      <c r="B96" s="2" t="s">
        <v>89</v>
      </c>
      <c r="C96" s="2" t="s">
        <v>24</v>
      </c>
      <c r="E96" s="2" t="str">
        <f>IFERROR(__xludf.DUMMYFUNCTION("REGEXREPLACE(A96,""^Trường\s*"","""")"),"TH, THCS&amp;THPT QTHSCHOOL")</f>
        <v>TH, THCS&amp;THPT QTHSCHOOL</v>
      </c>
    </row>
    <row r="97">
      <c r="A97" s="1" t="s">
        <v>384</v>
      </c>
      <c r="B97" s="2" t="s">
        <v>385</v>
      </c>
      <c r="C97" s="2" t="s">
        <v>24</v>
      </c>
      <c r="E97" s="2" t="str">
        <f>IFERROR(__xludf.DUMMYFUNCTION("REGEXREPLACE(A97,""^Trường\s*"","""")"),"Tiểu học Quảng Phú")</f>
        <v>Tiểu học Quảng Phú</v>
      </c>
    </row>
    <row r="98">
      <c r="A98" s="1" t="s">
        <v>388</v>
      </c>
      <c r="B98" s="2" t="s">
        <v>391</v>
      </c>
      <c r="C98" s="2" t="s">
        <v>24</v>
      </c>
      <c r="E98" s="2" t="str">
        <f>IFERROR(__xludf.DUMMYFUNCTION("REGEXREPLACE(A98,""^Trường\s*"","""")"),"Tiểu học Quảng Tâm")</f>
        <v>Tiểu học Quảng Tâm</v>
      </c>
    </row>
    <row r="99">
      <c r="A99" s="1" t="s">
        <v>393</v>
      </c>
      <c r="B99" s="2" t="s">
        <v>395</v>
      </c>
      <c r="C99" s="2" t="s">
        <v>24</v>
      </c>
      <c r="E99" s="2" t="str">
        <f>IFERROR(__xludf.DUMMYFUNCTION("REGEXREPLACE(A99,""^Trường\s*"","""")"),"Tiểu học Quảng Cát")</f>
        <v>Tiểu học Quảng Cát</v>
      </c>
    </row>
    <row r="100">
      <c r="A100" s="1" t="s">
        <v>397</v>
      </c>
      <c r="B100" s="2" t="s">
        <v>399</v>
      </c>
      <c r="C100" s="2" t="s">
        <v>24</v>
      </c>
      <c r="E100" s="2" t="str">
        <f>IFERROR(__xludf.DUMMYFUNCTION("REGEXREPLACE(A100,""^Trường\s*"","""")"),"Tiểu học Quảng Thịnh")</f>
        <v>Tiểu học Quảng Thịnh</v>
      </c>
    </row>
    <row r="101">
      <c r="A101" s="1" t="s">
        <v>401</v>
      </c>
      <c r="B101" s="2" t="s">
        <v>402</v>
      </c>
      <c r="C101" s="2" t="s">
        <v>24</v>
      </c>
      <c r="E101" s="2" t="str">
        <f>IFERROR(__xludf.DUMMYFUNCTION("REGEXREPLACE(A101,""^Trường\s*"","""")"),"Tiểu học Quảng Đông")</f>
        <v>Tiểu học Quảng Đông</v>
      </c>
    </row>
    <row r="102">
      <c r="A102" s="1" t="s">
        <v>201</v>
      </c>
      <c r="B102" s="2" t="s">
        <v>202</v>
      </c>
      <c r="C102" s="2" t="s">
        <v>203</v>
      </c>
      <c r="E102" s="2" t="str">
        <f>IFERROR(__xludf.DUMMYFUNCTION("REGEXREPLACE(A102,""^Trường\s*"","""")"),"TH&amp;THCS Quang Trung")</f>
        <v>TH&amp;THCS Quang Trung</v>
      </c>
    </row>
    <row r="103">
      <c r="A103" s="1" t="s">
        <v>407</v>
      </c>
      <c r="B103" s="2" t="s">
        <v>409</v>
      </c>
      <c r="C103" s="2" t="s">
        <v>203</v>
      </c>
      <c r="E103" s="2" t="str">
        <f>IFERROR(__xludf.DUMMYFUNCTION("REGEXREPLACE(A103,""^Trường\s*"","""")"),"Tiểu học Ngọc Trạo")</f>
        <v>Tiểu học Ngọc Trạo</v>
      </c>
    </row>
    <row r="104">
      <c r="A104" s="1" t="s">
        <v>413</v>
      </c>
      <c r="B104" s="2" t="s">
        <v>414</v>
      </c>
      <c r="C104" s="2" t="s">
        <v>203</v>
      </c>
      <c r="E104" s="2" t="str">
        <f>IFERROR(__xludf.DUMMYFUNCTION("REGEXREPLACE(A104,""^Trường\s*"","""")"),"Tiểu học Bắc Sơn")</f>
        <v>Tiểu học Bắc Sơn</v>
      </c>
    </row>
    <row r="105">
      <c r="A105" s="1" t="s">
        <v>206</v>
      </c>
      <c r="B105" s="2" t="s">
        <v>208</v>
      </c>
      <c r="C105" s="2" t="s">
        <v>203</v>
      </c>
      <c r="E105" s="2" t="str">
        <f>IFERROR(__xludf.DUMMYFUNCTION("REGEXREPLACE(A105,""^Trường\s*"","""")"),"TH và THCS Phú Sơn")</f>
        <v>TH và THCS Phú Sơn</v>
      </c>
    </row>
    <row r="106">
      <c r="A106" s="1" t="s">
        <v>418</v>
      </c>
      <c r="B106" s="2" t="s">
        <v>420</v>
      </c>
      <c r="C106" s="2" t="s">
        <v>238</v>
      </c>
      <c r="E106" s="2" t="str">
        <f>IFERROR(__xludf.DUMMYFUNCTION("REGEXREPLACE(A106,""^Trường\s*"","""")"),"Tiểu học Darwin")</f>
        <v>Tiểu học Darwin</v>
      </c>
    </row>
    <row r="107">
      <c r="A107" s="1" t="s">
        <v>422</v>
      </c>
      <c r="B107" s="2" t="s">
        <v>423</v>
      </c>
      <c r="C107" s="2" t="s">
        <v>238</v>
      </c>
      <c r="E107" s="2" t="str">
        <f>IFERROR(__xludf.DUMMYFUNCTION("REGEXREPLACE(A107,""^Trường\s*"","""")"),"Tiểu học Trường Sơn")</f>
        <v>Tiểu học Trường Sơn</v>
      </c>
    </row>
    <row r="108">
      <c r="A108" s="1" t="s">
        <v>427</v>
      </c>
      <c r="B108" s="2" t="s">
        <v>428</v>
      </c>
      <c r="C108" s="2" t="s">
        <v>238</v>
      </c>
      <c r="E108" s="2" t="str">
        <f>IFERROR(__xludf.DUMMYFUNCTION("REGEXREPLACE(A108,""^Trường\s*"","""")"),"Tiểu học Bắc Sơn Sầm Sơn")</f>
        <v>Tiểu học Bắc Sơn Sầm Sơn</v>
      </c>
    </row>
    <row r="109">
      <c r="A109" s="1" t="s">
        <v>429</v>
      </c>
      <c r="B109" s="2" t="s">
        <v>430</v>
      </c>
      <c r="C109" s="2" t="s">
        <v>238</v>
      </c>
      <c r="E109" s="2" t="str">
        <f>IFERROR(__xludf.DUMMYFUNCTION("REGEXREPLACE(A109,""^Trường\s*"","""")"),"Tiểu học Trung Sơn 1")</f>
        <v>Tiểu học Trung Sơn 1</v>
      </c>
    </row>
    <row r="110">
      <c r="A110" s="1" t="s">
        <v>431</v>
      </c>
      <c r="B110" s="2" t="s">
        <v>434</v>
      </c>
      <c r="C110" s="2" t="s">
        <v>238</v>
      </c>
      <c r="E110" s="2" t="str">
        <f>IFERROR(__xludf.DUMMYFUNCTION("REGEXREPLACE(A110,""^Trường\s*"","""")"),"Tiểu học Quảng Tiến 1")</f>
        <v>Tiểu học Quảng Tiến 1</v>
      </c>
    </row>
    <row r="111">
      <c r="A111" s="1" t="s">
        <v>437</v>
      </c>
      <c r="B111" s="2" t="s">
        <v>438</v>
      </c>
      <c r="C111" s="2" t="s">
        <v>238</v>
      </c>
      <c r="E111" s="2" t="str">
        <f>IFERROR(__xludf.DUMMYFUNCTION("REGEXREPLACE(A111,""^Trường\s*"","""")"),"Tiểu học Quảng Cư")</f>
        <v>Tiểu học Quảng Cư</v>
      </c>
    </row>
    <row r="112">
      <c r="A112" s="1" t="s">
        <v>442</v>
      </c>
      <c r="B112" s="2" t="s">
        <v>444</v>
      </c>
      <c r="C112" s="2" t="s">
        <v>238</v>
      </c>
      <c r="E112" s="2" t="str">
        <f>IFERROR(__xludf.DUMMYFUNCTION("REGEXREPLACE(A112,""^Trường\s*"","""")"),"Tiểu học Quảng Tiến 2")</f>
        <v>Tiểu học Quảng Tiến 2</v>
      </c>
    </row>
    <row r="113">
      <c r="A113" s="1" t="s">
        <v>447</v>
      </c>
      <c r="B113" s="2" t="s">
        <v>449</v>
      </c>
      <c r="C113" s="2" t="s">
        <v>238</v>
      </c>
      <c r="E113" s="2" t="str">
        <f>IFERROR(__xludf.DUMMYFUNCTION("REGEXREPLACE(A113,""^Trường\s*"","""")"),"Tiểu học Trung Sơn 2")</f>
        <v>Tiểu học Trung Sơn 2</v>
      </c>
    </row>
    <row r="114">
      <c r="A114" s="1" t="s">
        <v>451</v>
      </c>
      <c r="B114" s="2" t="s">
        <v>452</v>
      </c>
      <c r="C114" s="2" t="s">
        <v>238</v>
      </c>
      <c r="E114" s="2" t="str">
        <f>IFERROR(__xludf.DUMMYFUNCTION("REGEXREPLACE(A114,""^Trường\s*"","""")"),"Tiểu học Quảng Châu")</f>
        <v>Tiểu học Quảng Châu</v>
      </c>
    </row>
    <row r="115">
      <c r="A115" s="1" t="s">
        <v>454</v>
      </c>
      <c r="B115" s="2" t="s">
        <v>456</v>
      </c>
      <c r="C115" s="2" t="s">
        <v>238</v>
      </c>
      <c r="E115" s="2" t="str">
        <f>IFERROR(__xludf.DUMMYFUNCTION("REGEXREPLACE(A115,""^Trường\s*"","""")"),"Tiểu học Quảng Thọ")</f>
        <v>Tiểu học Quảng Thọ</v>
      </c>
    </row>
    <row r="116">
      <c r="A116" s="1" t="s">
        <v>458</v>
      </c>
      <c r="B116" s="2" t="s">
        <v>459</v>
      </c>
      <c r="C116" s="2" t="s">
        <v>460</v>
      </c>
      <c r="E116" s="2" t="str">
        <f>IFERROR(__xludf.DUMMYFUNCTION("REGEXREPLACE(A116,""^Trường\s*"","""")"),"Tiểu học Ngọc Lĩnh")</f>
        <v>Tiểu học Ngọc Lĩnh</v>
      </c>
    </row>
    <row r="117">
      <c r="A117" s="1" t="s">
        <v>462</v>
      </c>
      <c r="B117" s="2" t="s">
        <v>464</v>
      </c>
      <c r="C117" s="2" t="s">
        <v>460</v>
      </c>
      <c r="E117" s="2" t="str">
        <f>IFERROR(__xludf.DUMMYFUNCTION("REGEXREPLACE(A117,""^Trường\s*"","""")"),"Tiểu học Tân Dân")</f>
        <v>Tiểu học Tân Dân</v>
      </c>
    </row>
    <row r="118">
      <c r="A118" s="1" t="s">
        <v>466</v>
      </c>
      <c r="B118" s="2" t="s">
        <v>468</v>
      </c>
      <c r="C118" s="2" t="s">
        <v>460</v>
      </c>
      <c r="E118" s="2" t="str">
        <f>IFERROR(__xludf.DUMMYFUNCTION("REGEXREPLACE(A118,""^Trường\s*"","""")"),"Tiểu học Hải An")</f>
        <v>Tiểu học Hải An</v>
      </c>
    </row>
    <row r="119">
      <c r="A119" s="1" t="s">
        <v>471</v>
      </c>
      <c r="B119" s="2" t="s">
        <v>473</v>
      </c>
      <c r="C119" s="2" t="s">
        <v>475</v>
      </c>
      <c r="E119" s="2" t="str">
        <f>IFERROR(__xludf.DUMMYFUNCTION("REGEXREPLACE(A119,""^Trường\s*"","""")"),"Tiểu học Hải Nhân")</f>
        <v>Tiểu học Hải Nhân</v>
      </c>
    </row>
    <row r="120">
      <c r="A120" s="1" t="s">
        <v>478</v>
      </c>
      <c r="B120" s="2" t="s">
        <v>479</v>
      </c>
      <c r="C120" s="2" t="s">
        <v>475</v>
      </c>
      <c r="E120" s="2" t="str">
        <f>IFERROR(__xludf.DUMMYFUNCTION("REGEXREPLACE(A120,""^Trường\s*"","""")"),"Tiểu học Thị Trấn")</f>
        <v>Tiểu học Thị Trấn</v>
      </c>
    </row>
    <row r="121">
      <c r="A121" s="1" t="s">
        <v>482</v>
      </c>
      <c r="B121" s="2" t="s">
        <v>483</v>
      </c>
      <c r="C121" s="2" t="s">
        <v>475</v>
      </c>
      <c r="E121" s="2" t="str">
        <f>IFERROR(__xludf.DUMMYFUNCTION("REGEXREPLACE(A121,""^Trường\s*"","""")"),"Tiểu học Hải Hòa")</f>
        <v>Tiểu học Hải Hòa</v>
      </c>
    </row>
    <row r="122">
      <c r="A122" s="1" t="s">
        <v>486</v>
      </c>
      <c r="B122" s="2" t="s">
        <v>487</v>
      </c>
      <c r="C122" s="2" t="s">
        <v>475</v>
      </c>
      <c r="E122" s="2" t="str">
        <f>IFERROR(__xludf.DUMMYFUNCTION("REGEXREPLACE(A122,""^Trường\s*"","""")"),"Tiểu học Hải Thanh A")</f>
        <v>Tiểu học Hải Thanh A</v>
      </c>
    </row>
    <row r="123">
      <c r="A123" s="1" t="s">
        <v>490</v>
      </c>
      <c r="B123" s="2" t="s">
        <v>491</v>
      </c>
      <c r="C123" s="2" t="s">
        <v>475</v>
      </c>
      <c r="E123" s="2" t="str">
        <f>IFERROR(__xludf.DUMMYFUNCTION("REGEXREPLACE(A123,""^Trường\s*"","""")"),"Tiểu học Bình Minh")</f>
        <v>Tiểu học Bình Minh</v>
      </c>
    </row>
    <row r="124">
      <c r="A124" s="1" t="s">
        <v>494</v>
      </c>
      <c r="B124" s="2" t="s">
        <v>497</v>
      </c>
      <c r="C124" s="2" t="s">
        <v>475</v>
      </c>
      <c r="E124" s="2" t="str">
        <f>IFERROR(__xludf.DUMMYFUNCTION("REGEXREPLACE(A124,""^Trường\s*"","""")"),"Tiểu học Hải Thanh")</f>
        <v>Tiểu học Hải Thanh</v>
      </c>
    </row>
    <row r="125">
      <c r="A125" s="1" t="s">
        <v>500</v>
      </c>
      <c r="B125" s="2" t="s">
        <v>501</v>
      </c>
      <c r="C125" s="2" t="s">
        <v>475</v>
      </c>
      <c r="E125" s="2" t="str">
        <f>IFERROR(__xludf.DUMMYFUNCTION("REGEXREPLACE(A125,""^Trường\s*"","""")"),"TH&amp;THCS Lương Chí")</f>
        <v>TH&amp;THCS Lương Chí</v>
      </c>
    </row>
    <row r="126">
      <c r="A126" s="1" t="s">
        <v>503</v>
      </c>
      <c r="B126" s="2" t="s">
        <v>506</v>
      </c>
      <c r="C126" s="2" t="s">
        <v>508</v>
      </c>
      <c r="E126" s="2" t="str">
        <f>IFERROR(__xludf.DUMMYFUNCTION("REGEXREPLACE(A126,""^Trường\s*"","""")"),"Tiểu học Trúc Lâm")</f>
        <v>Tiểu học Trúc Lâm</v>
      </c>
    </row>
    <row r="127">
      <c r="A127" s="1" t="s">
        <v>510</v>
      </c>
      <c r="B127" s="2" t="s">
        <v>511</v>
      </c>
      <c r="C127" s="2" t="s">
        <v>508</v>
      </c>
      <c r="E127" s="2" t="str">
        <f>IFERROR(__xludf.DUMMYFUNCTION("REGEXREPLACE(A127,""^Trường\s*"","""")"),"Tiểu học Phú Sơn")</f>
        <v>Tiểu học Phú Sơn</v>
      </c>
    </row>
    <row r="128">
      <c r="A128" s="1" t="s">
        <v>512</v>
      </c>
      <c r="B128" s="2" t="s">
        <v>514</v>
      </c>
      <c r="C128" s="2" t="s">
        <v>508</v>
      </c>
      <c r="E128" s="2" t="str">
        <f>IFERROR(__xludf.DUMMYFUNCTION("REGEXREPLACE(A128,""^Trường\s*"","""")"),"Tiểu học Tùng Lâm")</f>
        <v>Tiểu học Tùng Lâm</v>
      </c>
    </row>
    <row r="129">
      <c r="A129" s="1" t="s">
        <v>517</v>
      </c>
      <c r="B129" s="2" t="s">
        <v>518</v>
      </c>
      <c r="C129" s="2" t="s">
        <v>508</v>
      </c>
      <c r="E129" s="2" t="str">
        <f>IFERROR(__xludf.DUMMYFUNCTION("REGEXREPLACE(A129,""^Trường\s*"","""")"),"Tiểu học Phú Lâm")</f>
        <v>Tiểu học Phú Lâm</v>
      </c>
    </row>
    <row r="130">
      <c r="A130" s="1" t="s">
        <v>520</v>
      </c>
      <c r="B130" s="2" t="s">
        <v>522</v>
      </c>
      <c r="C130" s="2" t="s">
        <v>524</v>
      </c>
      <c r="E130" s="2" t="str">
        <f>IFERROR(__xludf.DUMMYFUNCTION("REGEXREPLACE(A130,""^Trường\s*"","""")"),"Tiểu học Khuyến Nông")</f>
        <v>Tiểu học Khuyến Nông</v>
      </c>
    </row>
    <row r="131">
      <c r="A131" s="1" t="s">
        <v>525</v>
      </c>
      <c r="B131" s="2" t="s">
        <v>526</v>
      </c>
      <c r="C131" s="2" t="s">
        <v>524</v>
      </c>
      <c r="E131" s="2" t="str">
        <f>IFERROR(__xludf.DUMMYFUNCTION("REGEXREPLACE(A131,""^Trường\s*"","""")"),"Tiểu học Tiến Nông")</f>
        <v>Tiểu học Tiến Nông</v>
      </c>
    </row>
    <row r="132">
      <c r="A132" s="1" t="s">
        <v>527</v>
      </c>
      <c r="B132" s="2" t="s">
        <v>529</v>
      </c>
      <c r="C132" s="2" t="s">
        <v>524</v>
      </c>
      <c r="E132" s="2" t="str">
        <f>IFERROR(__xludf.DUMMYFUNCTION("REGEXREPLACE(A132,""^Trường\s*"","""")"),"Tiểu học An Nông")</f>
        <v>Tiểu học An Nông</v>
      </c>
    </row>
    <row r="133">
      <c r="A133" s="1" t="s">
        <v>533</v>
      </c>
      <c r="B133" s="2" t="s">
        <v>534</v>
      </c>
      <c r="C133" s="2" t="s">
        <v>524</v>
      </c>
      <c r="E133" s="2" t="str">
        <f>IFERROR(__xludf.DUMMYFUNCTION("REGEXREPLACE(A133,""^Trường\s*"","""")"),"Tiểu học Nông Trường")</f>
        <v>Tiểu học Nông Trường</v>
      </c>
    </row>
    <row r="134">
      <c r="A134" s="1" t="s">
        <v>37</v>
      </c>
      <c r="B134" s="2" t="s">
        <v>535</v>
      </c>
      <c r="C134" s="2" t="s">
        <v>536</v>
      </c>
      <c r="E134" s="2" t="str">
        <f>IFERROR(__xludf.DUMMYFUNCTION("REGEXREPLACE(A134,""^Trường\s*"","""")"),"Tiểu học Ba Đình")</f>
        <v>Tiểu học Ba Đình</v>
      </c>
    </row>
    <row r="135">
      <c r="A135" s="1" t="s">
        <v>539</v>
      </c>
      <c r="B135" s="2" t="s">
        <v>541</v>
      </c>
      <c r="C135" s="2" t="s">
        <v>536</v>
      </c>
      <c r="E135" s="2" t="str">
        <f>IFERROR(__xludf.DUMMYFUNCTION("REGEXREPLACE(A135,""^Trường\s*"","""")"),"tiểu học Nga Trường")</f>
        <v>tiểu học Nga Trường</v>
      </c>
    </row>
    <row r="136">
      <c r="A136" s="1" t="s">
        <v>543</v>
      </c>
      <c r="B136" s="2" t="s">
        <v>545</v>
      </c>
      <c r="C136" s="2" t="s">
        <v>536</v>
      </c>
      <c r="E136" s="2" t="str">
        <f>IFERROR(__xludf.DUMMYFUNCTION("REGEXREPLACE(A136,""^Trường\s*"","""")"),"Tiểu Học Nga Thiện")</f>
        <v>Tiểu Học Nga Thiện</v>
      </c>
    </row>
    <row r="137">
      <c r="A137" s="1" t="s">
        <v>546</v>
      </c>
      <c r="B137" s="2" t="s">
        <v>547</v>
      </c>
      <c r="C137" s="2" t="s">
        <v>536</v>
      </c>
      <c r="E137" s="2" t="str">
        <f>IFERROR(__xludf.DUMMYFUNCTION("REGEXREPLACE(A137,""^Trường\s*"","""")"),"TH&amp;THCS Nga Vịnh")</f>
        <v>TH&amp;THCS Nga Vịnh</v>
      </c>
    </row>
    <row r="138">
      <c r="A138" s="1" t="s">
        <v>551</v>
      </c>
      <c r="B138" s="2" t="s">
        <v>552</v>
      </c>
      <c r="C138" s="2" t="s">
        <v>550</v>
      </c>
      <c r="E138" s="2" t="str">
        <f>IFERROR(__xludf.DUMMYFUNCTION("REGEXREPLACE(A138,""^Trường\s*"","""")"),"Tiểu học Lâm Xa")</f>
        <v>Tiểu học Lâm Xa</v>
      </c>
    </row>
    <row r="139">
      <c r="A139" s="1" t="s">
        <v>555</v>
      </c>
      <c r="B139" s="2" t="s">
        <v>558</v>
      </c>
      <c r="C139" s="2" t="s">
        <v>550</v>
      </c>
      <c r="E139" s="2" t="str">
        <f>IFERROR(__xludf.DUMMYFUNCTION("REGEXREPLACE(A139,""^Trường\s*"","""")"),"Tiểu học Tân Lập")</f>
        <v>Tiểu học Tân Lập</v>
      </c>
    </row>
    <row r="140">
      <c r="A140" s="1" t="s">
        <v>562</v>
      </c>
      <c r="B140" s="2" t="s">
        <v>565</v>
      </c>
      <c r="C140" s="2" t="s">
        <v>550</v>
      </c>
      <c r="E140" s="2" t="str">
        <f>IFERROR(__xludf.DUMMYFUNCTION("REGEXREPLACE(A140,""^Trường\s*"","""")"),"Tiểu học Hạ Trung")</f>
        <v>Tiểu học Hạ Trung</v>
      </c>
    </row>
    <row r="141">
      <c r="A141" s="1" t="s">
        <v>568</v>
      </c>
      <c r="B141" s="2" t="s">
        <v>570</v>
      </c>
      <c r="C141" s="2" t="s">
        <v>550</v>
      </c>
      <c r="E141" s="2" t="str">
        <f>IFERROR(__xludf.DUMMYFUNCTION("REGEXREPLACE(A141,""^Trường\s*"","""")"),"Tiểu học Cành Nàng")</f>
        <v>Tiểu học Cành Nàng</v>
      </c>
    </row>
    <row r="142">
      <c r="A142" s="1" t="s">
        <v>574</v>
      </c>
      <c r="B142" s="2" t="s">
        <v>576</v>
      </c>
      <c r="C142" s="2" t="s">
        <v>550</v>
      </c>
      <c r="E142" s="2" t="str">
        <f>IFERROR(__xludf.DUMMYFUNCTION("REGEXREPLACE(A142,""^Trường\s*"","""")"),"Tiểu học Ban Công")</f>
        <v>Tiểu học Ban Công</v>
      </c>
    </row>
    <row r="143">
      <c r="A143" s="1" t="s">
        <v>581</v>
      </c>
      <c r="B143" s="2" t="s">
        <v>583</v>
      </c>
      <c r="C143" s="2" t="s">
        <v>585</v>
      </c>
      <c r="E143" s="2" t="str">
        <f>IFERROR(__xludf.DUMMYFUNCTION("REGEXREPLACE(A143,""^Trường\s*"","""")"),"Tiểu học Bát Mọt 2")</f>
        <v>Tiểu học Bát Mọt 2</v>
      </c>
    </row>
    <row r="144">
      <c r="A144" s="1" t="s">
        <v>589</v>
      </c>
      <c r="B144" s="2" t="s">
        <v>591</v>
      </c>
      <c r="C144" s="2" t="s">
        <v>585</v>
      </c>
      <c r="E144" s="2" t="str">
        <f>IFERROR(__xludf.DUMMYFUNCTION("REGEXREPLACE(A144,""^Trường\s*"","""")"),"Tiểu học Bát Mọt 1")</f>
        <v>Tiểu học Bát Mọt 1</v>
      </c>
    </row>
    <row r="145">
      <c r="A145" s="1" t="s">
        <v>593</v>
      </c>
      <c r="B145" s="2" t="s">
        <v>596</v>
      </c>
      <c r="C145" s="2" t="s">
        <v>619</v>
      </c>
      <c r="E145" s="2" t="str">
        <f>IFERROR(__xludf.DUMMYFUNCTION("REGEXREPLACE(A145,""^Trường\s*"","""")"),"tiểu học Vĩnh An")</f>
        <v>tiểu học Vĩnh An</v>
      </c>
    </row>
    <row r="146">
      <c r="A146" s="1" t="s">
        <v>623</v>
      </c>
      <c r="B146" s="2" t="s">
        <v>625</v>
      </c>
      <c r="C146" s="2" t="s">
        <v>619</v>
      </c>
      <c r="E146" s="2" t="str">
        <f>IFERROR(__xludf.DUMMYFUNCTION("REGEXREPLACE(A146,""^Trường\s*"","""")"),"tiểu học Vĩnh Thịnh")</f>
        <v>tiểu học Vĩnh Thịnh</v>
      </c>
    </row>
    <row r="147">
      <c r="A147" s="1" t="s">
        <v>629</v>
      </c>
      <c r="B147" s="2" t="s">
        <v>631</v>
      </c>
      <c r="C147" s="2" t="s">
        <v>619</v>
      </c>
      <c r="E147" s="2" t="str">
        <f>IFERROR(__xludf.DUMMYFUNCTION("REGEXREPLACE(A147,""^Trường\s*"","""")"),"Tiểu học Vĩnh Minh")</f>
        <v>Tiểu học Vĩnh Minh</v>
      </c>
    </row>
    <row r="148">
      <c r="A148" s="1" t="s">
        <v>636</v>
      </c>
      <c r="B148" s="2" t="s">
        <v>637</v>
      </c>
      <c r="C148" s="2" t="s">
        <v>619</v>
      </c>
      <c r="E148" s="2" t="str">
        <f>IFERROR(__xludf.DUMMYFUNCTION("REGEXREPLACE(A148,""^Trường\s*"","""")"),"tiểu học Vĩnh Hùng")</f>
        <v>tiểu học Vĩnh Hùng</v>
      </c>
    </row>
    <row r="149">
      <c r="A149" s="1" t="s">
        <v>641</v>
      </c>
      <c r="B149" s="2" t="s">
        <v>644</v>
      </c>
      <c r="C149" s="2" t="s">
        <v>619</v>
      </c>
      <c r="E149" s="2" t="str">
        <f>IFERROR(__xludf.DUMMYFUNCTION("REGEXREPLACE(A149,""^Trường\s*"","""")"),"TH&amp;THCS Vĩnh Tân")</f>
        <v>TH&amp;THCS Vĩnh Tân</v>
      </c>
    </row>
    <row r="150">
      <c r="A150" s="1" t="s">
        <v>645</v>
      </c>
      <c r="B150" s="2" t="s">
        <v>647</v>
      </c>
      <c r="C150" s="2" t="s">
        <v>650</v>
      </c>
      <c r="E150" s="2" t="str">
        <f>IFERROR(__xludf.DUMMYFUNCTION("REGEXREPLACE(A150,""^Trường\s*"","""")"),"Tiểu học Các Sơn A")</f>
        <v>Tiểu học Các Sơn A</v>
      </c>
    </row>
    <row r="151">
      <c r="A151" s="1" t="s">
        <v>654</v>
      </c>
      <c r="B151" s="2" t="s">
        <v>655</v>
      </c>
      <c r="C151" s="2" t="s">
        <v>650</v>
      </c>
      <c r="E151" s="2" t="str">
        <f>IFERROR(__xludf.DUMMYFUNCTION("REGEXREPLACE(A151,""^Trường\s*"","""")"),"Tiểu học Anh Sơn")</f>
        <v>Tiểu học Anh Sơn</v>
      </c>
    </row>
    <row r="152">
      <c r="A152" s="1" t="s">
        <v>660</v>
      </c>
      <c r="B152" s="2" t="s">
        <v>662</v>
      </c>
      <c r="C152" s="2" t="s">
        <v>650</v>
      </c>
      <c r="E152" s="2" t="str">
        <f>IFERROR(__xludf.DUMMYFUNCTION("REGEXREPLACE(A152,""^Trường\s*"","""")"),"Tiểu học Hùng Sơn")</f>
        <v>Tiểu học Hùng Sơn</v>
      </c>
    </row>
    <row r="153">
      <c r="A153" s="1" t="s">
        <v>665</v>
      </c>
      <c r="B153" s="2" t="s">
        <v>668</v>
      </c>
      <c r="C153" s="2" t="s">
        <v>650</v>
      </c>
      <c r="E153" s="2" t="str">
        <f>IFERROR(__xludf.DUMMYFUNCTION("REGEXREPLACE(A153,""^Trường\s*"","""")"),"Tiểu học Các Sơn B")</f>
        <v>Tiểu học Các Sơn B</v>
      </c>
    </row>
    <row r="154">
      <c r="A154" s="1" t="s">
        <v>670</v>
      </c>
      <c r="B154" s="2" t="s">
        <v>672</v>
      </c>
      <c r="C154" s="2" t="s">
        <v>642</v>
      </c>
      <c r="E154" s="2" t="str">
        <f>IFERROR(__xludf.DUMMYFUNCTION("REGEXREPLACE(A154,""^Trường\s*"","""")"),"tiểu học Cẩm Tân")</f>
        <v>tiểu học Cẩm Tân</v>
      </c>
    </row>
    <row r="155">
      <c r="A155" s="1" t="s">
        <v>678</v>
      </c>
      <c r="B155" s="2" t="s">
        <v>680</v>
      </c>
      <c r="C155" s="2" t="s">
        <v>642</v>
      </c>
      <c r="E155" s="2" t="str">
        <f>IFERROR(__xludf.DUMMYFUNCTION("REGEXREPLACE(A155,""^Trường\s*"","""")"),"Tiểu học Cẩm Long")</f>
        <v>Tiểu học Cẩm Long</v>
      </c>
    </row>
    <row r="156">
      <c r="A156" s="1" t="s">
        <v>685</v>
      </c>
      <c r="B156" s="2" t="s">
        <v>687</v>
      </c>
      <c r="C156" s="2" t="s">
        <v>642</v>
      </c>
      <c r="E156" s="2" t="str">
        <f>IFERROR(__xludf.DUMMYFUNCTION("REGEXREPLACE(A156,""^Trường\s*"","""")"),"Tiểu học Cẩm Phú")</f>
        <v>Tiểu học Cẩm Phú</v>
      </c>
    </row>
    <row r="157">
      <c r="A157" s="1" t="s">
        <v>689</v>
      </c>
      <c r="B157" s="2" t="s">
        <v>691</v>
      </c>
      <c r="C157" s="2" t="s">
        <v>652</v>
      </c>
      <c r="E157" s="2" t="str">
        <f>IFERROR(__xludf.DUMMYFUNCTION("REGEXREPLACE(A157,""^Trường\s*"","""")"),"TH&amp;THCS Cẩm Liên")</f>
        <v>TH&amp;THCS Cẩm Liên</v>
      </c>
    </row>
    <row r="158">
      <c r="A158" s="1" t="s">
        <v>696</v>
      </c>
      <c r="B158" s="2" t="s">
        <v>698</v>
      </c>
      <c r="C158" s="2" t="s">
        <v>652</v>
      </c>
      <c r="E158" s="2" t="str">
        <f>IFERROR(__xludf.DUMMYFUNCTION("REGEXREPLACE(A158,""^Trường\s*"","""")"),"tiểu học Cẩm Thành")</f>
        <v>tiểu học Cẩm Thành</v>
      </c>
    </row>
    <row r="159">
      <c r="A159" s="1" t="s">
        <v>704</v>
      </c>
      <c r="B159" s="2" t="s">
        <v>705</v>
      </c>
      <c r="C159" s="2" t="s">
        <v>652</v>
      </c>
      <c r="E159" s="2" t="str">
        <f>IFERROR(__xludf.DUMMYFUNCTION("REGEXREPLACE(A159,""^Trường\s*"","""")"),"tiểu học Cẩm Thạch")</f>
        <v>tiểu học Cẩm Thạch</v>
      </c>
    </row>
    <row r="160">
      <c r="A160" s="1" t="s">
        <v>711</v>
      </c>
      <c r="B160" s="2" t="s">
        <v>713</v>
      </c>
      <c r="C160" s="2" t="s">
        <v>652</v>
      </c>
      <c r="E160" s="2" t="str">
        <f>IFERROR(__xludf.DUMMYFUNCTION("REGEXREPLACE(A160,""^Trường\s*"","""")"),"tiểu học Cẩm Bình 1")</f>
        <v>tiểu học Cẩm Bình 1</v>
      </c>
    </row>
    <row r="161">
      <c r="A161" s="1" t="s">
        <v>718</v>
      </c>
      <c r="B161" s="2" t="s">
        <v>721</v>
      </c>
      <c r="C161" s="2" t="s">
        <v>652</v>
      </c>
      <c r="E161" s="2" t="str">
        <f>IFERROR(__xludf.DUMMYFUNCTION("REGEXREPLACE(A161,""^Trường\s*"","""")"),"tiểu học Cẩm Bình 3")</f>
        <v>tiểu học Cẩm Bình 3</v>
      </c>
    </row>
    <row r="162">
      <c r="A162" s="1" t="s">
        <v>725</v>
      </c>
      <c r="B162" s="2" t="s">
        <v>728</v>
      </c>
      <c r="C162" s="2" t="s">
        <v>663</v>
      </c>
      <c r="E162" s="2" t="str">
        <f>IFERROR(__xludf.DUMMYFUNCTION("REGEXREPLACE(A162,""^Trường\s*"","""")"),"tiểu học Cẩm Phong")</f>
        <v>tiểu học Cẩm Phong</v>
      </c>
    </row>
    <row r="163">
      <c r="A163" s="1" t="s">
        <v>732</v>
      </c>
      <c r="B163" s="2" t="s">
        <v>734</v>
      </c>
      <c r="C163" s="2" t="s">
        <v>663</v>
      </c>
      <c r="E163" s="2" t="str">
        <f>IFERROR(__xludf.DUMMYFUNCTION("REGEXREPLACE(A163,""^Trường\s*"","""")"),"tiểu học Cẩm Ngọc")</f>
        <v>tiểu học Cẩm Ngọc</v>
      </c>
    </row>
    <row r="164">
      <c r="A164" s="1" t="s">
        <v>739</v>
      </c>
      <c r="B164" s="2" t="s">
        <v>741</v>
      </c>
      <c r="C164" s="2" t="s">
        <v>663</v>
      </c>
      <c r="E164" s="2" t="str">
        <f>IFERROR(__xludf.DUMMYFUNCTION("REGEXREPLACE(A164,""^Trường\s*"","""")"),"tiểu học Cẩm Sơn")</f>
        <v>tiểu học Cẩm Sơn</v>
      </c>
    </row>
    <row r="165">
      <c r="A165" s="1" t="s">
        <v>744</v>
      </c>
      <c r="B165" s="2" t="s">
        <v>745</v>
      </c>
      <c r="C165" s="2" t="s">
        <v>663</v>
      </c>
      <c r="E165" s="2" t="str">
        <f>IFERROR(__xludf.DUMMYFUNCTION("REGEXREPLACE(A165,""^Trường\s*"","""")"),"tiểu học Cẩm Thủy")</f>
        <v>tiểu học Cẩm Thủy</v>
      </c>
    </row>
    <row r="166">
      <c r="A166" s="1" t="s">
        <v>750</v>
      </c>
      <c r="B166" s="2" t="s">
        <v>751</v>
      </c>
      <c r="C166" s="2" t="s">
        <v>754</v>
      </c>
      <c r="E166" s="2" t="str">
        <f>IFERROR(__xludf.DUMMYFUNCTION("REGEXREPLACE(A166,""^Trường\s*"","""")"),"Tiểu học Cẩm Giang")</f>
        <v>Tiểu học Cẩm Giang</v>
      </c>
    </row>
    <row r="167">
      <c r="A167" s="1" t="s">
        <v>757</v>
      </c>
      <c r="B167" s="2" t="s">
        <v>760</v>
      </c>
      <c r="C167" s="2" t="s">
        <v>754</v>
      </c>
      <c r="E167" s="2" t="str">
        <f>IFERROR(__xludf.DUMMYFUNCTION("REGEXREPLACE(A167,""^Trường\s*"","""")"),"Tiểu học Cẩm Quý")</f>
        <v>Tiểu học Cẩm Quý</v>
      </c>
    </row>
    <row r="168">
      <c r="A168" s="1" t="s">
        <v>764</v>
      </c>
      <c r="B168" s="2" t="s">
        <v>768</v>
      </c>
      <c r="C168" s="2" t="s">
        <v>754</v>
      </c>
      <c r="E168" s="2" t="str">
        <f>IFERROR(__xludf.DUMMYFUNCTION("REGEXREPLACE(A168,""^Trường\s*"","""")"),"Tiểu học Cẩm Tú")</f>
        <v>Tiểu học Cẩm Tú</v>
      </c>
    </row>
    <row r="169">
      <c r="A169" s="1" t="s">
        <v>769</v>
      </c>
      <c r="B169" s="2" t="s">
        <v>770</v>
      </c>
      <c r="C169" s="2" t="s">
        <v>754</v>
      </c>
      <c r="E169" s="2" t="str">
        <f>IFERROR(__xludf.DUMMYFUNCTION("REGEXREPLACE(A169,""^Trường\s*"","""")"),"TH&amp;THCS Cẩm Lương")</f>
        <v>TH&amp;THCS Cẩm Lương</v>
      </c>
    </row>
    <row r="170">
      <c r="A170" s="1" t="s">
        <v>771</v>
      </c>
      <c r="B170" s="2" t="s">
        <v>772</v>
      </c>
      <c r="C170" s="2" t="s">
        <v>774</v>
      </c>
      <c r="E170" s="2" t="str">
        <f>IFERROR(__xludf.DUMMYFUNCTION("REGEXREPLACE(A170,""^Trường\s*"","""")"),"Tiểu học Cẩm Châu")</f>
        <v>Tiểu học Cẩm Châu</v>
      </c>
    </row>
    <row r="171">
      <c r="A171" s="1" t="s">
        <v>775</v>
      </c>
      <c r="B171" s="2" t="s">
        <v>776</v>
      </c>
      <c r="C171" s="2" t="s">
        <v>774</v>
      </c>
      <c r="E171" s="2" t="str">
        <f>IFERROR(__xludf.DUMMYFUNCTION("REGEXREPLACE(A171,""^Trường\s*"","""")"),"Tiểu học Cẩm Vân")</f>
        <v>Tiểu học Cẩm Vân</v>
      </c>
    </row>
    <row r="172">
      <c r="A172" s="1" t="s">
        <v>777</v>
      </c>
      <c r="B172" s="2" t="s">
        <v>778</v>
      </c>
      <c r="C172" s="2" t="s">
        <v>774</v>
      </c>
      <c r="E172" s="2" t="str">
        <f>IFERROR(__xludf.DUMMYFUNCTION("REGEXREPLACE(A172,""^Trường\s*"","""")"),"TH&amp;THCS Cẩm Yên")</f>
        <v>TH&amp;THCS Cẩm Yên</v>
      </c>
    </row>
    <row r="173">
      <c r="A173" s="1" t="s">
        <v>782</v>
      </c>
      <c r="B173" s="2" t="s">
        <v>783</v>
      </c>
      <c r="C173" s="2" t="s">
        <v>774</v>
      </c>
      <c r="E173" s="2" t="str">
        <f>IFERROR(__xludf.DUMMYFUNCTION("REGEXREPLACE(A173,""^Trường\s*"","""")"),"TH&amp;THCS Cẩm Tâm")</f>
        <v>TH&amp;THCS Cẩm Tâm</v>
      </c>
    </row>
    <row r="174">
      <c r="A174" s="1" t="s">
        <v>786</v>
      </c>
      <c r="B174" s="2" t="s">
        <v>787</v>
      </c>
      <c r="C174" s="2" t="s">
        <v>474</v>
      </c>
      <c r="E174" s="2" t="str">
        <f>IFERROR(__xludf.DUMMYFUNCTION("REGEXREPLACE(A174,""^Trường\s*"","""")"),"Tiểu học Cổ Lũng")</f>
        <v>Tiểu học Cổ Lũng</v>
      </c>
    </row>
    <row r="175">
      <c r="A175" s="1" t="s">
        <v>789</v>
      </c>
      <c r="B175" s="2" t="s">
        <v>790</v>
      </c>
      <c r="C175" s="2" t="s">
        <v>474</v>
      </c>
      <c r="E175" s="2" t="str">
        <f>IFERROR(__xludf.DUMMYFUNCTION("REGEXREPLACE(A175,""^Trường\s*"","""")"),"Tiểu học Lũng Cao")</f>
        <v>Tiểu học Lũng Cao</v>
      </c>
    </row>
    <row r="176">
      <c r="A176" s="1" t="s">
        <v>611</v>
      </c>
      <c r="B176" s="2" t="s">
        <v>612</v>
      </c>
      <c r="C176" s="2" t="s">
        <v>474</v>
      </c>
      <c r="E176" s="2" t="str">
        <f>IFERROR(__xludf.DUMMYFUNCTION("REGEXREPLACE(A176,""^Trường\s*"","""")"),"TH&amp;THCS Cao Sơn")</f>
        <v>TH&amp;THCS Cao Sơn</v>
      </c>
    </row>
    <row r="177">
      <c r="A177" s="1" t="s">
        <v>799</v>
      </c>
      <c r="B177" s="2" t="s">
        <v>801</v>
      </c>
      <c r="C177" s="2" t="s">
        <v>679</v>
      </c>
      <c r="E177" s="2" t="str">
        <f>IFERROR(__xludf.DUMMYFUNCTION("REGEXREPLACE(A177,""^Trường\s*"","""")"),"Tiểu học Công Chính")</f>
        <v>Tiểu học Công Chính</v>
      </c>
    </row>
    <row r="178">
      <c r="A178" s="1" t="s">
        <v>803</v>
      </c>
      <c r="B178" s="2" t="s">
        <v>805</v>
      </c>
      <c r="C178" s="2" t="s">
        <v>679</v>
      </c>
      <c r="E178" s="2" t="str">
        <f>IFERROR(__xludf.DUMMYFUNCTION("REGEXREPLACE(A178,""^Trường\s*"","""")"),"Tiểu học Công Liêm 1")</f>
        <v>Tiểu học Công Liêm 1</v>
      </c>
    </row>
    <row r="179">
      <c r="A179" s="1" t="s">
        <v>810</v>
      </c>
      <c r="B179" s="2" t="s">
        <v>811</v>
      </c>
      <c r="C179" s="2" t="s">
        <v>679</v>
      </c>
      <c r="E179" s="2" t="str">
        <f>IFERROR(__xludf.DUMMYFUNCTION("REGEXREPLACE(A179,""^Trường\s*"","""")"),"Tiểu học Yên Mỹ")</f>
        <v>Tiểu học Yên Mỹ</v>
      </c>
    </row>
    <row r="180">
      <c r="A180" s="1" t="s">
        <v>815</v>
      </c>
      <c r="B180" s="2" t="s">
        <v>818</v>
      </c>
      <c r="C180" s="2" t="s">
        <v>679</v>
      </c>
      <c r="E180" s="2" t="str">
        <f>IFERROR(__xludf.DUMMYFUNCTION("REGEXREPLACE(A180,""^Trường\s*"","""")"),"Tiểu học Công Liêm 2")</f>
        <v>Tiểu học Công Liêm 2</v>
      </c>
    </row>
    <row r="181">
      <c r="A181" s="1" t="s">
        <v>820</v>
      </c>
      <c r="B181" s="2" t="s">
        <v>822</v>
      </c>
      <c r="C181" s="2" t="s">
        <v>509</v>
      </c>
      <c r="E181" s="2" t="str">
        <f>IFERROR(__xludf.DUMMYFUNCTION("REGEXREPLACE(A181,""^Trường\s*"","""")"),"Tiểu học Ái Thượng")</f>
        <v>Tiểu học Ái Thượng</v>
      </c>
    </row>
    <row r="182">
      <c r="A182" s="1" t="s">
        <v>826</v>
      </c>
      <c r="B182" s="2" t="s">
        <v>828</v>
      </c>
      <c r="C182" s="2" t="s">
        <v>509</v>
      </c>
      <c r="E182" s="2" t="str">
        <f>IFERROR(__xludf.DUMMYFUNCTION("REGEXREPLACE(A182,""^Trường\s*"","""")"),"Tiểu học Điền Trung")</f>
        <v>Tiểu học Điền Trung</v>
      </c>
    </row>
    <row r="183">
      <c r="A183" s="1" t="s">
        <v>832</v>
      </c>
      <c r="B183" s="2" t="s">
        <v>835</v>
      </c>
      <c r="C183" s="2" t="s">
        <v>509</v>
      </c>
      <c r="E183" s="2" t="str">
        <f>IFERROR(__xludf.DUMMYFUNCTION("REGEXREPLACE(A183,""^Trường\s*"","""")"),"Tiểu học Điền Lư")</f>
        <v>Tiểu học Điền Lư</v>
      </c>
    </row>
    <row r="184">
      <c r="A184" s="1" t="s">
        <v>839</v>
      </c>
      <c r="B184" s="2" t="s">
        <v>841</v>
      </c>
      <c r="C184" s="2" t="s">
        <v>448</v>
      </c>
      <c r="E184" s="2" t="str">
        <f>IFERROR(__xludf.DUMMYFUNCTION("REGEXREPLACE(A184,""^Trường\s*"","""")"),"Tiểu học Điền Thượng")</f>
        <v>Tiểu học Điền Thượng</v>
      </c>
    </row>
    <row r="185">
      <c r="A185" s="1" t="s">
        <v>846</v>
      </c>
      <c r="B185" s="2" t="s">
        <v>848</v>
      </c>
      <c r="C185" s="2" t="s">
        <v>448</v>
      </c>
      <c r="E185" s="2" t="str">
        <f>IFERROR(__xludf.DUMMYFUNCTION("REGEXREPLACE(A185,""^Trường\s*"","""")"),"Tiểu học Điền Hạ")</f>
        <v>Tiểu học Điền Hạ</v>
      </c>
    </row>
    <row r="186">
      <c r="A186" s="1" t="s">
        <v>853</v>
      </c>
      <c r="B186" s="2" t="s">
        <v>855</v>
      </c>
      <c r="C186" s="2" t="s">
        <v>448</v>
      </c>
      <c r="E186" s="2" t="str">
        <f>IFERROR(__xludf.DUMMYFUNCTION("REGEXREPLACE(A186,""^Trường\s*"","""")"),"Tiểu học Điền Quang")</f>
        <v>Tiểu học Điền Quang</v>
      </c>
    </row>
    <row r="187">
      <c r="A187" s="1" t="s">
        <v>857</v>
      </c>
      <c r="B187" s="2" t="s">
        <v>862</v>
      </c>
      <c r="C187" s="2" t="s">
        <v>864</v>
      </c>
      <c r="E187" s="2" t="str">
        <f>IFERROR(__xludf.DUMMYFUNCTION("REGEXREPLACE(A187,""^Trường\s*"","""")"),"Tiểu Học Định Hòa")</f>
        <v>Tiểu Học Định Hòa</v>
      </c>
    </row>
    <row r="188">
      <c r="A188" s="1" t="s">
        <v>865</v>
      </c>
      <c r="B188" s="2" t="s">
        <v>867</v>
      </c>
      <c r="C188" s="2" t="s">
        <v>864</v>
      </c>
      <c r="E188" s="2" t="str">
        <f>IFERROR(__xludf.DUMMYFUNCTION("REGEXREPLACE(A188,""^Trường\s*"","""")"),"Tiểu Học Định Bình")</f>
        <v>Tiểu Học Định Bình</v>
      </c>
    </row>
    <row r="189">
      <c r="A189" s="1" t="s">
        <v>871</v>
      </c>
      <c r="B189" s="2" t="s">
        <v>872</v>
      </c>
      <c r="C189" s="2" t="s">
        <v>864</v>
      </c>
      <c r="E189" s="2" t="str">
        <f>IFERROR(__xludf.DUMMYFUNCTION("REGEXREPLACE(A189,""^Trường\s*"","""")"),"Tiểu học Định Thành")</f>
        <v>Tiểu học Định Thành</v>
      </c>
    </row>
    <row r="190">
      <c r="A190" s="1" t="s">
        <v>876</v>
      </c>
      <c r="B190" s="2" t="s">
        <v>877</v>
      </c>
      <c r="C190" s="2" t="s">
        <v>864</v>
      </c>
      <c r="E190" s="2" t="str">
        <f>IFERROR(__xludf.DUMMYFUNCTION("REGEXREPLACE(A190,""^Trường\s*"","""")"),"Tiểu Học Định Công")</f>
        <v>Tiểu Học Định Công</v>
      </c>
    </row>
    <row r="191">
      <c r="A191" s="1" t="s">
        <v>880</v>
      </c>
      <c r="B191" s="2" t="s">
        <v>881</v>
      </c>
      <c r="C191" s="2" t="s">
        <v>883</v>
      </c>
      <c r="E191" s="2" t="str">
        <f>IFERROR(__xludf.DUMMYFUNCTION("REGEXREPLACE(A191,""^Trường\s*"","""")"),"Tiểu Học Định Tân")</f>
        <v>Tiểu Học Định Tân</v>
      </c>
    </row>
    <row r="192">
      <c r="A192" s="1" t="s">
        <v>886</v>
      </c>
      <c r="B192" s="2" t="s">
        <v>887</v>
      </c>
      <c r="C192" s="2" t="s">
        <v>883</v>
      </c>
      <c r="E192" s="2" t="str">
        <f>IFERROR(__xludf.DUMMYFUNCTION("REGEXREPLACE(A192,""^Trường\s*"","""")"),"Tiểu học Định Tiến")</f>
        <v>Tiểu học Định Tiến</v>
      </c>
    </row>
    <row r="193">
      <c r="A193" s="1" t="s">
        <v>889</v>
      </c>
      <c r="B193" s="2" t="s">
        <v>890</v>
      </c>
      <c r="C193" s="2" t="s">
        <v>883</v>
      </c>
      <c r="E193" s="2" t="str">
        <f>IFERROR(__xludf.DUMMYFUNCTION("REGEXREPLACE(A193,""^Trường\s*"","""")"),"Tiểu Học Định Hưng")</f>
        <v>Tiểu Học Định Hưng</v>
      </c>
    </row>
    <row r="194">
      <c r="A194" s="1" t="s">
        <v>893</v>
      </c>
      <c r="B194" s="2" t="s">
        <v>895</v>
      </c>
      <c r="C194" s="2" t="s">
        <v>883</v>
      </c>
      <c r="E194" s="2" t="str">
        <f>IFERROR(__xludf.DUMMYFUNCTION("REGEXREPLACE(A194,""^Trường\s*"","""")"),"Tiểu Học Định Hải")</f>
        <v>Tiểu Học Định Hải</v>
      </c>
    </row>
    <row r="195">
      <c r="A195" s="1" t="s">
        <v>896</v>
      </c>
      <c r="B195" s="2" t="s">
        <v>898</v>
      </c>
      <c r="C195" s="2" t="s">
        <v>735</v>
      </c>
      <c r="E195" s="2" t="str">
        <f>IFERROR(__xludf.DUMMYFUNCTION("REGEXREPLACE(A195,""^Trường\s*"","""")"),"Tiểu Học Đồng Lương")</f>
        <v>Tiểu Học Đồng Lương</v>
      </c>
    </row>
    <row r="196">
      <c r="A196" s="1" t="s">
        <v>901</v>
      </c>
      <c r="B196" s="2" t="s">
        <v>903</v>
      </c>
      <c r="C196" s="2" t="s">
        <v>735</v>
      </c>
      <c r="E196" s="2" t="str">
        <f>IFERROR(__xludf.DUMMYFUNCTION("REGEXREPLACE(A196,""^Trường\s*"","""")"),"Tiểu học Tân Phúc")</f>
        <v>Tiểu học Tân Phúc</v>
      </c>
    </row>
    <row r="197">
      <c r="A197" s="1" t="s">
        <v>904</v>
      </c>
      <c r="B197" s="2" t="s">
        <v>907</v>
      </c>
      <c r="C197" s="2" t="s">
        <v>909</v>
      </c>
      <c r="E197" s="2" t="str">
        <f>IFERROR(__xludf.DUMMYFUNCTION("REGEXREPLACE(A197,""^Trường\s*"","""")"),"Tiểu học Cầu Lộc")</f>
        <v>Tiểu học Cầu Lộc</v>
      </c>
    </row>
    <row r="198">
      <c r="A198" s="1" t="s">
        <v>911</v>
      </c>
      <c r="B198" s="2" t="s">
        <v>913</v>
      </c>
      <c r="C198" s="2" t="s">
        <v>909</v>
      </c>
      <c r="E198" s="2" t="str">
        <f>IFERROR(__xludf.DUMMYFUNCTION("REGEXREPLACE(A198,""^Trường\s*"","""")"),"Tiểu học Tuy Lộc")</f>
        <v>Tiểu học Tuy Lộc</v>
      </c>
    </row>
    <row r="199">
      <c r="A199" s="1" t="s">
        <v>915</v>
      </c>
      <c r="B199" s="2" t="s">
        <v>916</v>
      </c>
      <c r="C199" s="2" t="s">
        <v>909</v>
      </c>
      <c r="E199" s="2" t="str">
        <f>IFERROR(__xludf.DUMMYFUNCTION("REGEXREPLACE(A199,""^Trường\s*"","""")"),"Tiểu học Đồng Lộc")</f>
        <v>Tiểu học Đồng Lộc</v>
      </c>
    </row>
    <row r="200">
      <c r="A200" s="1" t="s">
        <v>920</v>
      </c>
      <c r="B200" s="2" t="s">
        <v>921</v>
      </c>
      <c r="C200" s="2" t="s">
        <v>909</v>
      </c>
      <c r="E200" s="2" t="str">
        <f>IFERROR(__xludf.DUMMYFUNCTION("REGEXREPLACE(A200,""^Trường\s*"","""")"),"Tiểu học Thành Lộc")</f>
        <v>Tiểu học Thành Lộc</v>
      </c>
    </row>
    <row r="201">
      <c r="A201" s="1" t="s">
        <v>923</v>
      </c>
      <c r="B201" s="2" t="s">
        <v>925</v>
      </c>
      <c r="C201" s="2" t="s">
        <v>909</v>
      </c>
      <c r="E201" s="2" t="str">
        <f>IFERROR(__xludf.DUMMYFUNCTION("REGEXREPLACE(A201,""^Trường\s*"","""")"),"TH&amp;THCS Phong Lộc")</f>
        <v>TH&amp;THCS Phong Lộc</v>
      </c>
    </row>
    <row r="202">
      <c r="A202" s="1" t="s">
        <v>927</v>
      </c>
      <c r="B202" s="2" t="s">
        <v>929</v>
      </c>
      <c r="C202" s="2" t="s">
        <v>695</v>
      </c>
      <c r="E202" s="2" t="str">
        <f>IFERROR(__xludf.DUMMYFUNCTION("REGEXREPLACE(A202,""^Trường\s*"","""")"),"Tiểu học Đồng Tiến")</f>
        <v>Tiểu học Đồng Tiến</v>
      </c>
    </row>
    <row r="203">
      <c r="A203" s="1" t="s">
        <v>931</v>
      </c>
      <c r="B203" s="2" t="s">
        <v>932</v>
      </c>
      <c r="C203" s="2" t="s">
        <v>695</v>
      </c>
      <c r="E203" s="2" t="str">
        <f>IFERROR(__xludf.DUMMYFUNCTION("REGEXREPLACE(A203,""^Trường\s*"","""")"),"Tiểu học Đồng Lợi")</f>
        <v>Tiểu học Đồng Lợi</v>
      </c>
    </row>
    <row r="204">
      <c r="A204" s="1" t="s">
        <v>935</v>
      </c>
      <c r="B204" s="2" t="s">
        <v>936</v>
      </c>
      <c r="C204" s="2" t="s">
        <v>695</v>
      </c>
      <c r="E204" s="2" t="str">
        <f>IFERROR(__xludf.DUMMYFUNCTION("REGEXREPLACE(A204,""^Trường\s*"","""")"),"Tiểu học Đồng Thắng")</f>
        <v>Tiểu học Đồng Thắng</v>
      </c>
    </row>
    <row r="205">
      <c r="A205" s="1" t="s">
        <v>938</v>
      </c>
      <c r="B205" s="2" t="s">
        <v>940</v>
      </c>
      <c r="C205" s="2" t="s">
        <v>758</v>
      </c>
      <c r="E205" s="2" t="str">
        <f>IFERROR(__xludf.DUMMYFUNCTION("REGEXREPLACE(A205,""^Trường\s*"","""")"),"Tiểu học Giao Thiện")</f>
        <v>Tiểu học Giao Thiện</v>
      </c>
    </row>
    <row r="206">
      <c r="A206" s="1" t="s">
        <v>797</v>
      </c>
      <c r="B206" s="2" t="s">
        <v>800</v>
      </c>
      <c r="C206" s="2" t="s">
        <v>758</v>
      </c>
      <c r="E206" s="2" t="str">
        <f>IFERROR(__xludf.DUMMYFUNCTION("REGEXREPLACE(A206,""^Trường\s*"","""")"),"TH&amp;THCS Giao An")</f>
        <v>TH&amp;THCS Giao An</v>
      </c>
    </row>
    <row r="207">
      <c r="A207" s="1" t="s">
        <v>946</v>
      </c>
      <c r="B207" s="2" t="s">
        <v>947</v>
      </c>
      <c r="C207" s="2" t="s">
        <v>948</v>
      </c>
      <c r="E207" s="2" t="str">
        <f>IFERROR(__xludf.DUMMYFUNCTION("REGEXREPLACE(A207,""^Trường\s*"","""")"),"tiểu học Hà Bắc")</f>
        <v>tiểu học Hà Bắc</v>
      </c>
    </row>
    <row r="208">
      <c r="A208" s="1" t="s">
        <v>951</v>
      </c>
      <c r="B208" s="2" t="s">
        <v>953</v>
      </c>
      <c r="C208" s="2" t="s">
        <v>948</v>
      </c>
      <c r="E208" s="2" t="str">
        <f>IFERROR(__xludf.DUMMYFUNCTION("REGEXREPLACE(A208,""^Trường\s*"","""")"),"tiểu học Hà Long 1")</f>
        <v>tiểu học Hà Long 1</v>
      </c>
    </row>
    <row r="209">
      <c r="A209" s="1" t="s">
        <v>960</v>
      </c>
      <c r="B209" s="2" t="s">
        <v>962</v>
      </c>
      <c r="C209" s="2" t="s">
        <v>948</v>
      </c>
      <c r="E209" s="2" t="str">
        <f>IFERROR(__xludf.DUMMYFUNCTION("REGEXREPLACE(A209,""^Trường\s*"","""")"),"tiểu học Hà Giang")</f>
        <v>tiểu học Hà Giang</v>
      </c>
    </row>
    <row r="210">
      <c r="A210" s="1" t="s">
        <v>966</v>
      </c>
      <c r="B210" s="2" t="s">
        <v>967</v>
      </c>
      <c r="C210" s="2" t="s">
        <v>948</v>
      </c>
      <c r="E210" s="2" t="str">
        <f>IFERROR(__xludf.DUMMYFUNCTION("REGEXREPLACE(A210,""^Trường\s*"","""")"),"tiểu học Hà Long 2")</f>
        <v>tiểu học Hà Long 2</v>
      </c>
    </row>
    <row r="211">
      <c r="A211" s="1" t="s">
        <v>970</v>
      </c>
      <c r="B211" s="2" t="s">
        <v>971</v>
      </c>
      <c r="C211" s="2" t="s">
        <v>703</v>
      </c>
      <c r="E211" s="2" t="str">
        <f>IFERROR(__xludf.DUMMYFUNCTION("REGEXREPLACE(A211,""^Trường\s*"","""")"),"tiểu học Hà Ngọc")</f>
        <v>tiểu học Hà Ngọc</v>
      </c>
    </row>
    <row r="212">
      <c r="A212" s="1" t="s">
        <v>975</v>
      </c>
      <c r="B212" s="2" t="s">
        <v>977</v>
      </c>
      <c r="C212" s="2" t="s">
        <v>703</v>
      </c>
      <c r="E212" s="2" t="str">
        <f>IFERROR(__xludf.DUMMYFUNCTION("REGEXREPLACE(A212,""^Trường\s*"","""")"),"tiểu học Hà Ninh")</f>
        <v>tiểu học Hà Ninh</v>
      </c>
    </row>
    <row r="213">
      <c r="A213" s="1" t="s">
        <v>983</v>
      </c>
      <c r="B213" s="2" t="s">
        <v>986</v>
      </c>
      <c r="C213" s="2" t="s">
        <v>703</v>
      </c>
      <c r="E213" s="2" t="str">
        <f>IFERROR(__xludf.DUMMYFUNCTION("REGEXREPLACE(A213,""^Trường\s*"","""")"),"Tiểu học Hà Trung")</f>
        <v>Tiểu học Hà Trung</v>
      </c>
    </row>
    <row r="214">
      <c r="A214" s="1" t="s">
        <v>989</v>
      </c>
      <c r="B214" s="2" t="s">
        <v>990</v>
      </c>
      <c r="C214" s="2" t="s">
        <v>703</v>
      </c>
      <c r="E214" s="2" t="str">
        <f>IFERROR(__xludf.DUMMYFUNCTION("REGEXREPLACE(A214,""^Trường\s*"","""")"),"tiểu học Hà Lâm")</f>
        <v>tiểu học Hà Lâm</v>
      </c>
    </row>
    <row r="215">
      <c r="A215" s="1" t="s">
        <v>993</v>
      </c>
      <c r="B215" s="2" t="s">
        <v>994</v>
      </c>
      <c r="C215" s="2" t="s">
        <v>703</v>
      </c>
      <c r="E215" s="2" t="str">
        <f>IFERROR(__xludf.DUMMYFUNCTION("REGEXREPLACE(A215,""^Trường\s*"","""")"),"tiểu học Hà Đông")</f>
        <v>tiểu học Hà Đông</v>
      </c>
    </row>
    <row r="216">
      <c r="A216" s="1" t="s">
        <v>997</v>
      </c>
      <c r="B216" s="2" t="s">
        <v>999</v>
      </c>
      <c r="C216" s="2" t="s">
        <v>716</v>
      </c>
      <c r="E216" s="2" t="str">
        <f>IFERROR(__xludf.DUMMYFUNCTION("REGEXREPLACE(A216,""^Trường\s*"","""")"),"Tiểu học Hậu Lộc")</f>
        <v>Tiểu học Hậu Lộc</v>
      </c>
    </row>
    <row r="217">
      <c r="A217" s="1" t="s">
        <v>1001</v>
      </c>
      <c r="B217" s="2" t="s">
        <v>1002</v>
      </c>
      <c r="C217" s="2" t="s">
        <v>716</v>
      </c>
      <c r="E217" s="2" t="str">
        <f>IFERROR(__xludf.DUMMYFUNCTION("REGEXREPLACE(A217,""^Trường\s*"","""")"),"Tiểu học Thuần Lộc")</f>
        <v>Tiểu học Thuần Lộc</v>
      </c>
    </row>
    <row r="218">
      <c r="A218" s="1" t="s">
        <v>1007</v>
      </c>
      <c r="B218" s="2" t="s">
        <v>1008</v>
      </c>
      <c r="C218" s="2" t="s">
        <v>716</v>
      </c>
      <c r="E218" s="2" t="str">
        <f>IFERROR(__xludf.DUMMYFUNCTION("REGEXREPLACE(A218,""^Trường\s*"","""")"),"Tiểu học Lộc Tân")</f>
        <v>Tiểu học Lộc Tân</v>
      </c>
    </row>
    <row r="219">
      <c r="A219" s="1" t="s">
        <v>1009</v>
      </c>
      <c r="B219" s="2" t="s">
        <v>1010</v>
      </c>
      <c r="C219" s="2" t="s">
        <v>716</v>
      </c>
      <c r="E219" s="2" t="str">
        <f>IFERROR(__xludf.DUMMYFUNCTION("REGEXREPLACE(A219,""^Trường\s*"","""")"),"TH&amp;THCS Mỹ Lộc")</f>
        <v>TH&amp;THCS Mỹ Lộc</v>
      </c>
    </row>
    <row r="220">
      <c r="A220" s="1" t="s">
        <v>1013</v>
      </c>
      <c r="B220" s="2" t="s">
        <v>1015</v>
      </c>
      <c r="C220" s="2" t="s">
        <v>716</v>
      </c>
      <c r="E220" s="2" t="str">
        <f>IFERROR(__xludf.DUMMYFUNCTION("REGEXREPLACE(A220,""^Trường\s*"","""")"),"THamp;THCS Lộc Sơn")</f>
        <v>THamp;THCS Lộc Sơn</v>
      </c>
    </row>
    <row r="221">
      <c r="A221" s="1" t="s">
        <v>1016</v>
      </c>
      <c r="B221" s="2" t="s">
        <v>1018</v>
      </c>
      <c r="C221" s="2" t="s">
        <v>363</v>
      </c>
      <c r="E221" s="2" t="str">
        <f>IFERROR(__xludf.DUMMYFUNCTION("REGEXREPLACE(A221,""^Trường\s*"","""")"),"Tiểu học Hiền Kiệt")</f>
        <v>Tiểu học Hiền Kiệt</v>
      </c>
    </row>
    <row r="222">
      <c r="A222" s="1" t="s">
        <v>1020</v>
      </c>
      <c r="B222" s="2" t="s">
        <v>1021</v>
      </c>
      <c r="C222" s="2" t="s">
        <v>363</v>
      </c>
      <c r="E222" s="2" t="str">
        <f>IFERROR(__xludf.DUMMYFUNCTION("REGEXREPLACE(A222,""^Trường\s*"","""")"),"Tiểu học Hiền Chung")</f>
        <v>Tiểu học Hiền Chung</v>
      </c>
    </row>
    <row r="223">
      <c r="A223" s="1" t="s">
        <v>1024</v>
      </c>
      <c r="B223" s="2" t="s">
        <v>1026</v>
      </c>
      <c r="C223" s="2" t="s">
        <v>729</v>
      </c>
      <c r="E223" s="2" t="str">
        <f>IFERROR(__xludf.DUMMYFUNCTION("REGEXREPLACE(A223,""^Trường\s*"","""")"),"tiểu học Nga Hải")</f>
        <v>tiểu học Nga Hải</v>
      </c>
    </row>
    <row r="224">
      <c r="A224" s="1" t="s">
        <v>1028</v>
      </c>
      <c r="B224" s="2" t="s">
        <v>1030</v>
      </c>
      <c r="C224" s="2" t="s">
        <v>729</v>
      </c>
      <c r="E224" s="2" t="str">
        <f>IFERROR(__xludf.DUMMYFUNCTION("REGEXREPLACE(A224,""^Trường\s*"","""")"),"tiểu học Nga Liên 1")</f>
        <v>tiểu học Nga Liên 1</v>
      </c>
    </row>
    <row r="225">
      <c r="A225" s="1" t="s">
        <v>1032</v>
      </c>
      <c r="B225" s="2" t="s">
        <v>1033</v>
      </c>
      <c r="C225" s="2" t="s">
        <v>729</v>
      </c>
      <c r="E225" s="2" t="str">
        <f>IFERROR(__xludf.DUMMYFUNCTION("REGEXREPLACE(A225,""^Trường\s*"","""")"),"Tiểu học Nga Giáp")</f>
        <v>Tiểu học Nga Giáp</v>
      </c>
    </row>
    <row r="226">
      <c r="A226" s="1" t="s">
        <v>1034</v>
      </c>
      <c r="B226" s="2" t="s">
        <v>1035</v>
      </c>
      <c r="C226" s="2" t="s">
        <v>729</v>
      </c>
      <c r="E226" s="2" t="str">
        <f>IFERROR(__xludf.DUMMYFUNCTION("REGEXREPLACE(A226,""^Trường\s*"","""")"),"tiểu học Nga Thành")</f>
        <v>tiểu học Nga Thành</v>
      </c>
    </row>
    <row r="227">
      <c r="A227" s="1" t="s">
        <v>1038</v>
      </c>
      <c r="B227" s="2" t="s">
        <v>1040</v>
      </c>
      <c r="C227" s="2" t="s">
        <v>729</v>
      </c>
      <c r="E227" s="2" t="str">
        <f>IFERROR(__xludf.DUMMYFUNCTION("REGEXREPLACE(A227,""^Trường\s*"","""")"),"tiểu học Nga Liên 2")</f>
        <v>tiểu học Nga Liên 2</v>
      </c>
    </row>
    <row r="228">
      <c r="A228" s="1" t="s">
        <v>1042</v>
      </c>
      <c r="B228" s="2" t="s">
        <v>1044</v>
      </c>
      <c r="C228" s="2" t="s">
        <v>738</v>
      </c>
      <c r="E228" s="2" t="str">
        <f>IFERROR(__xludf.DUMMYFUNCTION("REGEXREPLACE(A228,""^Trường\s*"","""")"),"Tiểu học Xuân Lộc")</f>
        <v>Tiểu học Xuân Lộc</v>
      </c>
    </row>
    <row r="229">
      <c r="A229" s="1" t="s">
        <v>1045</v>
      </c>
      <c r="B229" s="2" t="s">
        <v>1047</v>
      </c>
      <c r="C229" s="2" t="s">
        <v>738</v>
      </c>
      <c r="E229" s="2" t="str">
        <f>IFERROR(__xludf.DUMMYFUNCTION("REGEXREPLACE(A229,""^Trường\s*"","""")"),"Tiểu học Phú Lộc")</f>
        <v>Tiểu học Phú Lộc</v>
      </c>
    </row>
    <row r="230">
      <c r="A230" s="1" t="s">
        <v>1052</v>
      </c>
      <c r="B230" s="2" t="s">
        <v>1055</v>
      </c>
      <c r="C230" s="2" t="s">
        <v>738</v>
      </c>
      <c r="E230" s="2" t="str">
        <f>IFERROR(__xludf.DUMMYFUNCTION("REGEXREPLACE(A230,""^Trường\s*"","""")"),"Tiểu học Quang Lộc")</f>
        <v>Tiểu học Quang Lộc</v>
      </c>
    </row>
    <row r="231">
      <c r="A231" s="1" t="s">
        <v>1058</v>
      </c>
      <c r="B231" s="2" t="s">
        <v>1059</v>
      </c>
      <c r="C231" s="2" t="s">
        <v>738</v>
      </c>
      <c r="E231" s="2" t="str">
        <f>IFERROR(__xludf.DUMMYFUNCTION("REGEXREPLACE(A231,""^Trường\s*"","""")"),"Tiểu học Liên Lộc")</f>
        <v>Tiểu học Liên Lộc</v>
      </c>
    </row>
    <row r="232">
      <c r="A232" s="1" t="s">
        <v>1064</v>
      </c>
      <c r="B232" s="2" t="s">
        <v>1065</v>
      </c>
      <c r="C232" s="2" t="s">
        <v>738</v>
      </c>
      <c r="E232" s="2" t="str">
        <f>IFERROR(__xludf.DUMMYFUNCTION("REGEXREPLACE(A232,""^Trường\s*"","""")"),"Tiểu học Hòa Lộc")</f>
        <v>Tiểu học Hòa Lộc</v>
      </c>
    </row>
    <row r="233">
      <c r="A233" s="1" t="s">
        <v>1067</v>
      </c>
      <c r="B233" s="2" t="s">
        <v>1069</v>
      </c>
      <c r="C233" s="2" t="s">
        <v>738</v>
      </c>
      <c r="E233" s="2" t="str">
        <f>IFERROR(__xludf.DUMMYFUNCTION("REGEXREPLACE(A233,""^Trường\s*"","""")"),"Tiểu học Hoa Lộc")</f>
        <v>Tiểu học Hoa Lộc</v>
      </c>
    </row>
    <row r="234">
      <c r="A234" s="18" t="s">
        <v>1073</v>
      </c>
      <c r="B234" s="2" t="s">
        <v>1075</v>
      </c>
      <c r="C234" s="2" t="s">
        <v>1076</v>
      </c>
      <c r="E234" s="2" t="str">
        <f>IFERROR(__xludf.DUMMYFUNCTION("REGEXREPLACE(A234,""^Trường\s*"","""")"),"TH amp; THCS Bình Lương")</f>
        <v>TH amp; THCS Bình Lương</v>
      </c>
    </row>
    <row r="235">
      <c r="A235" s="1" t="s">
        <v>1079</v>
      </c>
      <c r="B235" s="2" t="s">
        <v>1081</v>
      </c>
      <c r="C235" s="2" t="s">
        <v>1076</v>
      </c>
      <c r="E235" s="2" t="str">
        <f>IFERROR(__xludf.DUMMYFUNCTION("REGEXREPLACE(A235,""^Trường\s*"","""")"),"Tiểu Học Hóa Quỳ")</f>
        <v>Tiểu Học Hóa Quỳ</v>
      </c>
    </row>
    <row r="236">
      <c r="A236" s="1" t="s">
        <v>1085</v>
      </c>
      <c r="B236" s="2" t="s">
        <v>1086</v>
      </c>
      <c r="C236" s="2" t="s">
        <v>1076</v>
      </c>
      <c r="E236" s="2" t="str">
        <f>IFERROR(__xludf.DUMMYFUNCTION("REGEXREPLACE(A236,""^Trường\s*"","""")"),"TH&amp;THCS Xuân Quỳ")</f>
        <v>TH&amp;THCS Xuân Quỳ</v>
      </c>
    </row>
    <row r="237">
      <c r="A237" s="1" t="s">
        <v>1087</v>
      </c>
      <c r="B237" s="2" t="s">
        <v>1088</v>
      </c>
      <c r="C237" s="2" t="s">
        <v>1089</v>
      </c>
      <c r="E237" s="2" t="str">
        <f>IFERROR(__xludf.DUMMYFUNCTION("REGEXREPLACE(A237,""^Trường\s*"","""")"),"Tiểu học Hoằng Phong")</f>
        <v>Tiểu học Hoằng Phong</v>
      </c>
    </row>
    <row r="238">
      <c r="A238" s="1" t="s">
        <v>1091</v>
      </c>
      <c r="B238" s="2" t="s">
        <v>1093</v>
      </c>
      <c r="C238" s="2" t="s">
        <v>1089</v>
      </c>
      <c r="E238" s="2" t="str">
        <f>IFERROR(__xludf.DUMMYFUNCTION("REGEXREPLACE(A238,""^Trường\s*"","""")"),"Tiểu học Hoằng Lưu")</f>
        <v>Tiểu học Hoằng Lưu</v>
      </c>
    </row>
    <row r="239">
      <c r="A239" s="1" t="s">
        <v>1096</v>
      </c>
      <c r="B239" s="2" t="s">
        <v>1097</v>
      </c>
      <c r="C239" s="2" t="s">
        <v>1089</v>
      </c>
      <c r="E239" s="2" t="str">
        <f>IFERROR(__xludf.DUMMYFUNCTION("REGEXREPLACE(A239,""^Trường\s*"","""")"),"Tiểu học Hoằng Châu")</f>
        <v>Tiểu học Hoằng Châu</v>
      </c>
    </row>
    <row r="240">
      <c r="A240" s="1" t="s">
        <v>1100</v>
      </c>
      <c r="B240" s="2" t="s">
        <v>1102</v>
      </c>
      <c r="C240" s="2" t="s">
        <v>1089</v>
      </c>
      <c r="E240" s="2" t="str">
        <f>IFERROR(__xludf.DUMMYFUNCTION("REGEXREPLACE(A240,""^Trường\s*"","""")"),"Tiểu học Hoằng Thắng")</f>
        <v>Tiểu học Hoằng Thắng</v>
      </c>
    </row>
    <row r="241">
      <c r="A241" s="1" t="s">
        <v>1106</v>
      </c>
      <c r="B241" s="2" t="s">
        <v>1108</v>
      </c>
      <c r="C241" s="2" t="s">
        <v>1109</v>
      </c>
      <c r="E241" s="2" t="str">
        <f>IFERROR(__xludf.DUMMYFUNCTION("REGEXREPLACE(A241,""^Trường\s*"","""")"),"Tiểu học Hoằng Giang")</f>
        <v>Tiểu học Hoằng Giang</v>
      </c>
    </row>
    <row r="242">
      <c r="A242" s="1" t="s">
        <v>1111</v>
      </c>
      <c r="B242" s="2" t="s">
        <v>1114</v>
      </c>
      <c r="C242" s="2" t="s">
        <v>1109</v>
      </c>
      <c r="E242" s="2" t="str">
        <f>IFERROR(__xludf.DUMMYFUNCTION("REGEXREPLACE(A242,""^Trường\s*"","""")"),"Tiểu học Hoằng Xuân 1")</f>
        <v>Tiểu học Hoằng Xuân 1</v>
      </c>
    </row>
    <row r="243">
      <c r="A243" s="1" t="s">
        <v>1117</v>
      </c>
      <c r="B243" s="2" t="s">
        <v>1118</v>
      </c>
      <c r="C243" s="2" t="s">
        <v>1109</v>
      </c>
      <c r="E243" s="2" t="str">
        <f>IFERROR(__xludf.DUMMYFUNCTION("REGEXREPLACE(A243,""^Trường\s*"","""")"),"Tiểu học Hoằng Xuân 2")</f>
        <v>Tiểu học Hoằng Xuân 2</v>
      </c>
    </row>
    <row r="244">
      <c r="A244" s="1" t="s">
        <v>1121</v>
      </c>
      <c r="B244" s="2" t="s">
        <v>1122</v>
      </c>
      <c r="C244" s="2" t="s">
        <v>1109</v>
      </c>
      <c r="E244" s="2" t="str">
        <f>IFERROR(__xludf.DUMMYFUNCTION("REGEXREPLACE(A244,""^Trường\s*"","""")"),"tiểu học Hoằng Phượng")</f>
        <v>tiểu học Hoằng Phượng</v>
      </c>
    </row>
    <row r="245">
      <c r="A245" s="1" t="s">
        <v>1124</v>
      </c>
      <c r="B245" s="2" t="s">
        <v>1126</v>
      </c>
      <c r="C245" s="2" t="s">
        <v>1109</v>
      </c>
      <c r="E245" s="2" t="str">
        <f>IFERROR(__xludf.DUMMYFUNCTION("REGEXREPLACE(A245,""^Trường\s*"","""")"),"Tiểu học Hoằng Quỳ")</f>
        <v>Tiểu học Hoằng Quỳ</v>
      </c>
    </row>
    <row r="246">
      <c r="A246" s="1" t="s">
        <v>1129</v>
      </c>
      <c r="B246" s="2" t="s">
        <v>1130</v>
      </c>
      <c r="C246" s="2" t="s">
        <v>1109</v>
      </c>
      <c r="E246" s="2" t="str">
        <f>IFERROR(__xludf.DUMMYFUNCTION("REGEXREPLACE(A246,""^Trường\s*"","""")"),"Tiểu học Hoằng Hợp")</f>
        <v>Tiểu học Hoằng Hợp</v>
      </c>
    </row>
    <row r="247">
      <c r="A247" s="1" t="s">
        <v>8</v>
      </c>
      <c r="B247" s="2" t="s">
        <v>9</v>
      </c>
      <c r="C247" s="2" t="s">
        <v>10</v>
      </c>
      <c r="E247" s="2" t="str">
        <f>IFERROR(__xludf.DUMMYFUNCTION("REGEXREPLACE(A247,""^Trường\s*"","""")"),"TH, THCS&amp;THPT Delta")</f>
        <v>TH, THCS&amp;THPT Delta</v>
      </c>
    </row>
    <row r="248">
      <c r="A248" s="1" t="s">
        <v>1134</v>
      </c>
      <c r="B248" s="2" t="s">
        <v>1135</v>
      </c>
      <c r="C248" s="2" t="s">
        <v>10</v>
      </c>
      <c r="E248" s="2" t="str">
        <f>IFERROR(__xludf.DUMMYFUNCTION("REGEXREPLACE(A248,""^Trường\s*"","""")"),"Tiểu học Hoằng Đạt")</f>
        <v>Tiểu học Hoằng Đạt</v>
      </c>
    </row>
    <row r="249">
      <c r="A249" s="1" t="s">
        <v>1136</v>
      </c>
      <c r="B249" s="2" t="s">
        <v>1138</v>
      </c>
      <c r="C249" s="2" t="s">
        <v>10</v>
      </c>
      <c r="E249" s="2" t="str">
        <f>IFERROR(__xludf.DUMMYFUNCTION("REGEXREPLACE(A249,""^Trường\s*"","""")"),"Tiểu học Bút Sơn")</f>
        <v>Tiểu học Bút Sơn</v>
      </c>
    </row>
    <row r="250">
      <c r="A250" s="1" t="s">
        <v>1140</v>
      </c>
      <c r="B250" s="2" t="s">
        <v>1141</v>
      </c>
      <c r="C250" s="2" t="s">
        <v>10</v>
      </c>
      <c r="E250" s="2" t="str">
        <f>IFERROR(__xludf.DUMMYFUNCTION("REGEXREPLACE(A250,""^Trường\s*"","""")"),"Tiểu học Hoằng Đạo")</f>
        <v>Tiểu học Hoằng Đạo</v>
      </c>
    </row>
    <row r="251">
      <c r="A251" s="1" t="s">
        <v>1144</v>
      </c>
      <c r="B251" s="2" t="s">
        <v>1145</v>
      </c>
      <c r="C251" s="2" t="s">
        <v>10</v>
      </c>
      <c r="E251" s="2" t="str">
        <f>IFERROR(__xludf.DUMMYFUNCTION("REGEXREPLACE(A251,""^Trường\s*"","""")"),"Tiểu học Lê Tất Đắc")</f>
        <v>Tiểu học Lê Tất Đắc</v>
      </c>
    </row>
    <row r="252">
      <c r="A252" s="1" t="s">
        <v>1147</v>
      </c>
      <c r="B252" s="2" t="s">
        <v>1149</v>
      </c>
      <c r="C252" s="2" t="s">
        <v>10</v>
      </c>
      <c r="E252" s="2" t="str">
        <f>IFERROR(__xludf.DUMMYFUNCTION("REGEXREPLACE(A252,""^Trường\s*"","""")"),"Tiểu học Camellia")</f>
        <v>Tiểu học Camellia</v>
      </c>
    </row>
    <row r="253">
      <c r="A253" s="1" t="s">
        <v>1150</v>
      </c>
      <c r="B253" s="2" t="s">
        <v>1152</v>
      </c>
      <c r="C253" s="2" t="s">
        <v>10</v>
      </c>
      <c r="E253" s="2" t="str">
        <f>IFERROR(__xludf.DUMMYFUNCTION("REGEXREPLACE(A253,""^Trường\s*"","""")"),"TH&amp;THCS Hoằng Đức 2")</f>
        <v>TH&amp;THCS Hoằng Đức 2</v>
      </c>
    </row>
    <row r="254">
      <c r="A254" s="1" t="s">
        <v>1154</v>
      </c>
      <c r="B254" s="2" t="s">
        <v>1155</v>
      </c>
      <c r="C254" s="2" t="s">
        <v>10</v>
      </c>
      <c r="E254" s="2" t="str">
        <f>IFERROR(__xludf.DUMMYFUNCTION("REGEXREPLACE(A254,""^Trường\s*"","""")"),"TH&amp;THCS Hoằng Đức 1")</f>
        <v>TH&amp;THCS Hoằng Đức 1</v>
      </c>
    </row>
    <row r="255">
      <c r="A255" s="1" t="s">
        <v>1156</v>
      </c>
      <c r="B255" s="2" t="s">
        <v>1157</v>
      </c>
      <c r="C255" s="2" t="s">
        <v>10</v>
      </c>
      <c r="E255" s="2" t="str">
        <f>IFERROR(__xludf.DUMMYFUNCTION("REGEXREPLACE(A255,""^Trường\s*"","""")"),"TH&amp;THCS Hoằng Hà")</f>
        <v>TH&amp;THCS Hoằng Hà</v>
      </c>
    </row>
    <row r="256">
      <c r="A256" s="1" t="s">
        <v>1162</v>
      </c>
      <c r="B256" s="2" t="s">
        <v>1163</v>
      </c>
      <c r="C256" s="2" t="s">
        <v>10</v>
      </c>
      <c r="E256" s="2" t="str">
        <f>IFERROR(__xludf.DUMMYFUNCTION("REGEXREPLACE(A256,""^Trường\s*"","""")"),"THamp;THCS Hoằng Đồng")</f>
        <v>THamp;THCS Hoằng Đồng</v>
      </c>
    </row>
    <row r="257">
      <c r="A257" s="1" t="s">
        <v>1164</v>
      </c>
      <c r="B257" s="2" t="s">
        <v>1165</v>
      </c>
      <c r="C257" s="2" t="s">
        <v>762</v>
      </c>
      <c r="E257" s="2" t="str">
        <f>IFERROR(__xludf.DUMMYFUNCTION("REGEXREPLACE(A257,""^Trường\s*"","""")"),"Tiểu học Hoằng Thịnh")</f>
        <v>Tiểu học Hoằng Thịnh</v>
      </c>
    </row>
    <row r="258">
      <c r="A258" s="1" t="s">
        <v>1169</v>
      </c>
      <c r="B258" s="2" t="s">
        <v>1171</v>
      </c>
      <c r="C258" s="2" t="s">
        <v>762</v>
      </c>
      <c r="E258" s="2" t="str">
        <f>IFERROR(__xludf.DUMMYFUNCTION("REGEXREPLACE(A258,""^Trường\s*"","""")"),"Tiểu học Hoằng Thái")</f>
        <v>Tiểu học Hoằng Thái</v>
      </c>
    </row>
    <row r="259">
      <c r="A259" s="1" t="s">
        <v>1173</v>
      </c>
      <c r="B259" s="2" t="s">
        <v>1174</v>
      </c>
      <c r="C259" s="2" t="s">
        <v>762</v>
      </c>
      <c r="E259" s="2" t="str">
        <f>IFERROR(__xludf.DUMMYFUNCTION("REGEXREPLACE(A259,""^Trường\s*"","""")"),"Tiểu học Lê Mạnh Trinh")</f>
        <v>Tiểu học Lê Mạnh Trinh</v>
      </c>
    </row>
    <row r="260">
      <c r="A260" s="1" t="s">
        <v>1178</v>
      </c>
      <c r="B260" s="2" t="s">
        <v>1180</v>
      </c>
      <c r="C260" s="2" t="s">
        <v>762</v>
      </c>
      <c r="E260" s="2" t="str">
        <f>IFERROR(__xludf.DUMMYFUNCTION("REGEXREPLACE(A260,""^Trường\s*"","""")"),"Tiểu học Hoằng Thành")</f>
        <v>Tiểu học Hoằng Thành</v>
      </c>
    </row>
    <row r="261">
      <c r="A261" s="1" t="s">
        <v>1182</v>
      </c>
      <c r="B261" s="2" t="s">
        <v>1183</v>
      </c>
      <c r="C261" s="2" t="s">
        <v>762</v>
      </c>
      <c r="E261" s="2" t="str">
        <f>IFERROR(__xludf.DUMMYFUNCTION("REGEXREPLACE(A261,""^Trường\s*"","""")"),"Tiểu học Hoằng Trạch")</f>
        <v>Tiểu học Hoằng Trạch</v>
      </c>
    </row>
    <row r="262">
      <c r="A262" s="1" t="s">
        <v>1188</v>
      </c>
      <c r="B262" s="2" t="s">
        <v>1189</v>
      </c>
      <c r="C262" s="2" t="s">
        <v>762</v>
      </c>
      <c r="E262" s="2" t="str">
        <f>IFERROR(__xludf.DUMMYFUNCTION("REGEXREPLACE(A262,""^Trường\s*"","""")"),"Tiểu học Hoằng Tân")</f>
        <v>Tiểu học Hoằng Tân</v>
      </c>
    </row>
    <row r="263">
      <c r="A263" s="1" t="s">
        <v>1191</v>
      </c>
      <c r="B263" s="2" t="s">
        <v>1192</v>
      </c>
      <c r="C263" s="2" t="s">
        <v>773</v>
      </c>
      <c r="E263" s="2" t="str">
        <f>IFERROR(__xludf.DUMMYFUNCTION("REGEXREPLACE(A263,""^Trường\s*"","""")"),"Tiểu học Hoằng Quý")</f>
        <v>Tiểu học Hoằng Quý</v>
      </c>
    </row>
    <row r="264">
      <c r="A264" s="1" t="s">
        <v>1197</v>
      </c>
      <c r="B264" s="2" t="s">
        <v>1200</v>
      </c>
      <c r="C264" s="2" t="s">
        <v>773</v>
      </c>
      <c r="E264" s="2" t="str">
        <f>IFERROR(__xludf.DUMMYFUNCTION("REGEXREPLACE(A264,""^Trường\s*"","""")"),"Tiểu học Hoằng Kim")</f>
        <v>Tiểu học Hoằng Kim</v>
      </c>
    </row>
    <row r="265">
      <c r="A265" s="1" t="s">
        <v>1201</v>
      </c>
      <c r="B265" s="2" t="s">
        <v>1203</v>
      </c>
      <c r="C265" s="2" t="s">
        <v>773</v>
      </c>
      <c r="E265" s="2" t="str">
        <f>IFERROR(__xludf.DUMMYFUNCTION("REGEXREPLACE(A265,""^Trường\s*"","""")"),"Tiểu học Hoằng Trung")</f>
        <v>Tiểu học Hoằng Trung</v>
      </c>
    </row>
    <row r="266">
      <c r="A266" s="1" t="s">
        <v>1207</v>
      </c>
      <c r="B266" s="2" t="s">
        <v>1209</v>
      </c>
      <c r="C266" s="2" t="s">
        <v>773</v>
      </c>
      <c r="E266" s="2" t="str">
        <f>IFERROR(__xludf.DUMMYFUNCTION("REGEXREPLACE(A266,""^Trường\s*"","""")"),"Tiểu học và THCS Hoằng Phú")</f>
        <v>Tiểu học và THCS Hoằng Phú</v>
      </c>
    </row>
    <row r="267">
      <c r="A267" s="1" t="s">
        <v>1210</v>
      </c>
      <c r="B267" s="2" t="s">
        <v>1212</v>
      </c>
      <c r="C267" s="2" t="s">
        <v>1215</v>
      </c>
      <c r="E267" s="2" t="str">
        <f>IFERROR(__xludf.DUMMYFUNCTION("REGEXREPLACE(A267,""^Trường\s*"","""")"),"Tiểu học Hoằng Trinh")</f>
        <v>Tiểu học Hoằng Trinh</v>
      </c>
    </row>
    <row r="268">
      <c r="A268" s="1" t="s">
        <v>1218</v>
      </c>
      <c r="B268" s="2" t="s">
        <v>1219</v>
      </c>
      <c r="C268" s="2" t="s">
        <v>1215</v>
      </c>
      <c r="E268" s="2" t="str">
        <f>IFERROR(__xludf.DUMMYFUNCTION("REGEXREPLACE(A268,""^Trường\s*"","""")"),"Tiểu học Hoằng Xuyên 1")</f>
        <v>Tiểu học Hoằng Xuyên 1</v>
      </c>
    </row>
    <row r="269">
      <c r="A269" s="1" t="s">
        <v>1223</v>
      </c>
      <c r="B269" s="2" t="s">
        <v>1225</v>
      </c>
      <c r="C269" s="2" t="s">
        <v>1215</v>
      </c>
      <c r="E269" s="2" t="str">
        <f>IFERROR(__xludf.DUMMYFUNCTION("REGEXREPLACE(A269,""^Trường\s*"","""")"),"Tiểu học Hoằng Cát")</f>
        <v>Tiểu học Hoằng Cát</v>
      </c>
    </row>
    <row r="270">
      <c r="A270" s="1" t="s">
        <v>1228</v>
      </c>
      <c r="B270" s="2" t="s">
        <v>1231</v>
      </c>
      <c r="C270" s="2" t="s">
        <v>1215</v>
      </c>
      <c r="E270" s="2" t="str">
        <f>IFERROR(__xludf.DUMMYFUNCTION("REGEXREPLACE(A270,""^Trường\s*"","""")"),"Tiểu học Hoằng Xuyên 2")</f>
        <v>Tiểu học Hoằng Xuyên 2</v>
      </c>
    </row>
    <row r="271">
      <c r="A271" s="1" t="s">
        <v>1234</v>
      </c>
      <c r="B271" s="2" t="s">
        <v>1236</v>
      </c>
      <c r="C271" s="2" t="s">
        <v>1215</v>
      </c>
      <c r="E271" s="2" t="str">
        <f>IFERROR(__xludf.DUMMYFUNCTION("REGEXREPLACE(A271,""^Trường\s*"","""")"),"TH&amp;THCS Hoằng Sơn 1")</f>
        <v>TH&amp;THCS Hoằng Sơn 1</v>
      </c>
    </row>
    <row r="272">
      <c r="A272" s="1" t="s">
        <v>1240</v>
      </c>
      <c r="B272" s="2" t="s">
        <v>1241</v>
      </c>
      <c r="C272" s="2" t="s">
        <v>1215</v>
      </c>
      <c r="E272" s="2" t="str">
        <f>IFERROR(__xludf.DUMMYFUNCTION("REGEXREPLACE(A272,""^Trường\s*"","""")"),"TH&amp;THCS Hoằng Sơn 2")</f>
        <v>TH&amp;THCS Hoằng Sơn 2</v>
      </c>
    </row>
    <row r="273">
      <c r="A273" s="1" t="s">
        <v>1245</v>
      </c>
      <c r="B273" s="2" t="s">
        <v>1247</v>
      </c>
      <c r="C273" s="2" t="s">
        <v>781</v>
      </c>
      <c r="E273" s="2" t="str">
        <f>IFERROR(__xludf.DUMMYFUNCTION("REGEXREPLACE(A273,""^Trường\s*"","""")"),"Tiểu học Hoằng Đông")</f>
        <v>Tiểu học Hoằng Đông</v>
      </c>
    </row>
    <row r="274">
      <c r="A274" s="1" t="s">
        <v>1253</v>
      </c>
      <c r="B274" s="2" t="s">
        <v>1330</v>
      </c>
      <c r="C274" s="2" t="s">
        <v>781</v>
      </c>
      <c r="E274" s="2" t="str">
        <f>IFERROR(__xludf.DUMMYFUNCTION("REGEXREPLACE(A274,""^Trường\s*"","""")"),"Tiểu học Hoằng Thanh")</f>
        <v>Tiểu học Hoằng Thanh</v>
      </c>
    </row>
    <row r="275">
      <c r="A275" s="1" t="s">
        <v>1333</v>
      </c>
      <c r="B275" s="2" t="s">
        <v>1335</v>
      </c>
      <c r="C275" s="2" t="s">
        <v>781</v>
      </c>
      <c r="E275" s="2" t="str">
        <f>IFERROR(__xludf.DUMMYFUNCTION("REGEXREPLACE(A275,""^Trường\s*"","""")"),"Tiểu học Hoằng Phụ")</f>
        <v>Tiểu học Hoằng Phụ</v>
      </c>
    </row>
    <row r="276">
      <c r="A276" s="1" t="s">
        <v>1337</v>
      </c>
      <c r="B276" s="2" t="s">
        <v>1338</v>
      </c>
      <c r="C276" s="2" t="s">
        <v>781</v>
      </c>
      <c r="E276" s="2" t="str">
        <f>IFERROR(__xludf.DUMMYFUNCTION("REGEXREPLACE(A276,""^Trường\s*"","""")"),"Tiểu học Hoằng Ngọc")</f>
        <v>Tiểu học Hoằng Ngọc</v>
      </c>
    </row>
    <row r="277">
      <c r="A277" s="1" t="s">
        <v>1341</v>
      </c>
      <c r="B277" s="2" t="s">
        <v>1342</v>
      </c>
      <c r="C277" s="2" t="s">
        <v>1343</v>
      </c>
      <c r="E277" s="2" t="str">
        <f>IFERROR(__xludf.DUMMYFUNCTION("REGEXREPLACE(A277,""^Trường\s*"","""")"),"Tiểu học Lê Xuân Lan")</f>
        <v>Tiểu học Lê Xuân Lan</v>
      </c>
    </row>
    <row r="278">
      <c r="A278" s="1" t="s">
        <v>1344</v>
      </c>
      <c r="B278" s="2" t="s">
        <v>1346</v>
      </c>
      <c r="C278" s="2" t="s">
        <v>1343</v>
      </c>
      <c r="E278" s="2" t="str">
        <f>IFERROR(__xludf.DUMMYFUNCTION("REGEXREPLACE(A278,""^Trường\s*"","""")"),"Tiểu học Hoằng Hải")</f>
        <v>Tiểu học Hoằng Hải</v>
      </c>
    </row>
    <row r="279">
      <c r="A279" s="1" t="s">
        <v>1350</v>
      </c>
      <c r="B279" s="2" t="s">
        <v>1351</v>
      </c>
      <c r="C279" s="2" t="s">
        <v>1343</v>
      </c>
      <c r="E279" s="2" t="str">
        <f>IFERROR(__xludf.DUMMYFUNCTION("REGEXREPLACE(A279,""^Trường\s*"","""")"),"Tiểu học Hoằng Trường")</f>
        <v>Tiểu học Hoằng Trường</v>
      </c>
    </row>
    <row r="280">
      <c r="A280" s="1" t="s">
        <v>1352</v>
      </c>
      <c r="B280" s="2" t="s">
        <v>1355</v>
      </c>
      <c r="C280" s="2" t="s">
        <v>1343</v>
      </c>
      <c r="E280" s="2" t="str">
        <f>IFERROR(__xludf.DUMMYFUNCTION("REGEXREPLACE(A280,""^Trường\s*"","""")"),"TH&amp;THCS Hoằng Yến")</f>
        <v>TH&amp;THCS Hoằng Yến</v>
      </c>
    </row>
    <row r="281">
      <c r="A281" s="1" t="s">
        <v>1358</v>
      </c>
      <c r="B281" s="2" t="s">
        <v>1359</v>
      </c>
      <c r="C281" s="2" t="s">
        <v>795</v>
      </c>
      <c r="E281" s="2" t="str">
        <f>IFERROR(__xludf.DUMMYFUNCTION("REGEXREPLACE(A281,""^Trường\s*"","""")"),"tiểu hoc Hà Yên")</f>
        <v>tiểu hoc Hà Yên</v>
      </c>
    </row>
    <row r="282">
      <c r="A282" s="1" t="s">
        <v>1362</v>
      </c>
      <c r="B282" s="2" t="s">
        <v>1363</v>
      </c>
      <c r="C282" s="2" t="s">
        <v>795</v>
      </c>
      <c r="E282" s="2" t="str">
        <f>IFERROR(__xludf.DUMMYFUNCTION("REGEXREPLACE(A282,""^Trường\s*"","""")"),"tiểu học Hà Dương")</f>
        <v>tiểu học Hà Dương</v>
      </c>
    </row>
    <row r="283">
      <c r="A283" s="1" t="s">
        <v>1364</v>
      </c>
      <c r="B283" s="2" t="s">
        <v>1365</v>
      </c>
      <c r="C283" s="2" t="s">
        <v>795</v>
      </c>
      <c r="E283" s="2" t="str">
        <f>IFERROR(__xludf.DUMMYFUNCTION("REGEXREPLACE(A283,""^Trường\s*"","""")"),"Tiểu Học Hoạt Giang")</f>
        <v>Tiểu Học Hoạt Giang</v>
      </c>
    </row>
    <row r="284">
      <c r="A284" s="1" t="s">
        <v>1367</v>
      </c>
      <c r="B284" s="2" t="s">
        <v>1370</v>
      </c>
      <c r="C284" s="2" t="s">
        <v>795</v>
      </c>
      <c r="E284" s="2" t="str">
        <f>IFERROR(__xludf.DUMMYFUNCTION("REGEXREPLACE(A284,""^Trường\s*"","""")"),"tiểu học Hà Bình")</f>
        <v>tiểu học Hà Bình</v>
      </c>
    </row>
    <row r="285">
      <c r="A285" s="1" t="s">
        <v>1372</v>
      </c>
      <c r="B285" s="2" t="s">
        <v>1375</v>
      </c>
      <c r="C285" s="2" t="s">
        <v>386</v>
      </c>
      <c r="E285" s="2" t="str">
        <f>IFERROR(__xludf.DUMMYFUNCTION("REGEXREPLACE(A285,""^Trường\s*"","""")"),"Tiểu học Quan Hóa")</f>
        <v>Tiểu học Quan Hóa</v>
      </c>
    </row>
    <row r="286">
      <c r="A286" s="1" t="s">
        <v>1377</v>
      </c>
      <c r="B286" s="2" t="s">
        <v>1379</v>
      </c>
      <c r="C286" s="2" t="s">
        <v>386</v>
      </c>
      <c r="E286" s="2" t="str">
        <f>IFERROR(__xludf.DUMMYFUNCTION("REGEXREPLACE(A286,""^Trường\s*"","""")"),"Tiểu học Hồi Xuân")</f>
        <v>Tiểu học Hồi Xuân</v>
      </c>
    </row>
    <row r="287">
      <c r="A287" s="1" t="s">
        <v>1383</v>
      </c>
      <c r="B287" s="2" t="s">
        <v>1385</v>
      </c>
      <c r="C287" s="2" t="s">
        <v>386</v>
      </c>
      <c r="E287" s="2" t="str">
        <f>IFERROR(__xludf.DUMMYFUNCTION("REGEXREPLACE(A287,""^Trường\s*"","""")"),"Tiểu học Phú nghiêm")</f>
        <v>Tiểu học Phú nghiêm</v>
      </c>
    </row>
    <row r="288">
      <c r="A288" s="1" t="s">
        <v>1387</v>
      </c>
      <c r="B288" s="2" t="s">
        <v>1390</v>
      </c>
      <c r="C288" s="2" t="s">
        <v>816</v>
      </c>
      <c r="E288" s="2" t="str">
        <f>IFERROR(__xludf.DUMMYFUNCTION("REGEXREPLACE(A288,""^Trường\s*"","""")"),"Tiểu học Triệu Thành")</f>
        <v>Tiểu học Triệu Thành</v>
      </c>
    </row>
    <row r="289">
      <c r="A289" s="1" t="s">
        <v>1393</v>
      </c>
      <c r="B289" s="2" t="s">
        <v>1394</v>
      </c>
      <c r="C289" s="2" t="s">
        <v>816</v>
      </c>
      <c r="E289" s="2" t="str">
        <f>IFERROR(__xludf.DUMMYFUNCTION("REGEXREPLACE(A289,""^Trường\s*"","""")"),"Tiểu học Hợp Thắng")</f>
        <v>Tiểu học Hợp Thắng</v>
      </c>
    </row>
    <row r="290">
      <c r="A290" s="1" t="s">
        <v>1398</v>
      </c>
      <c r="B290" s="2" t="s">
        <v>1400</v>
      </c>
      <c r="C290" s="2" t="s">
        <v>816</v>
      </c>
      <c r="E290" s="2" t="str">
        <f>IFERROR(__xludf.DUMMYFUNCTION("REGEXREPLACE(A290,""^Trường\s*"","""")"),"Tiểu học Hợp Thành")</f>
        <v>Tiểu học Hợp Thành</v>
      </c>
    </row>
    <row r="291">
      <c r="A291" s="1" t="s">
        <v>1401</v>
      </c>
      <c r="B291" s="2" t="s">
        <v>1402</v>
      </c>
      <c r="C291" s="2" t="s">
        <v>816</v>
      </c>
      <c r="E291" s="2" t="str">
        <f>IFERROR(__xludf.DUMMYFUNCTION("REGEXREPLACE(A291,""^Trường\s*"","""")"),"Tiểu học Hợp Lý")</f>
        <v>Tiểu học Hợp Lý</v>
      </c>
    </row>
    <row r="292">
      <c r="A292" s="1" t="s">
        <v>1406</v>
      </c>
      <c r="B292" s="2" t="s">
        <v>1409</v>
      </c>
      <c r="C292" s="2" t="s">
        <v>816</v>
      </c>
      <c r="E292" s="2" t="str">
        <f>IFERROR(__xludf.DUMMYFUNCTION("REGEXREPLACE(A292,""^Trường\s*"","""")"),"TH và THCS Hợp Tiến")</f>
        <v>TH và THCS Hợp Tiến</v>
      </c>
    </row>
    <row r="293">
      <c r="A293" s="1" t="s">
        <v>1411</v>
      </c>
      <c r="B293" s="2" t="s">
        <v>1412</v>
      </c>
      <c r="C293" s="2" t="s">
        <v>824</v>
      </c>
      <c r="E293" s="2" t="str">
        <f>IFERROR(__xludf.DUMMYFUNCTION("REGEXREPLACE(A293,""^Trường\s*"","""")"),"Tiểu học Kiên Thọ 2")</f>
        <v>Tiểu học Kiên Thọ 2</v>
      </c>
    </row>
    <row r="294">
      <c r="A294" s="1" t="s">
        <v>1416</v>
      </c>
      <c r="B294" s="2" t="s">
        <v>1418</v>
      </c>
      <c r="C294" s="2" t="s">
        <v>824</v>
      </c>
      <c r="E294" s="2" t="str">
        <f>IFERROR(__xludf.DUMMYFUNCTION("REGEXREPLACE(A294,""^Trường\s*"","""")"),"Tiểu học Kiên Thọ 1")</f>
        <v>Tiểu học Kiên Thọ 1</v>
      </c>
    </row>
    <row r="295">
      <c r="A295" s="1" t="s">
        <v>1420</v>
      </c>
      <c r="B295" s="2" t="s">
        <v>1421</v>
      </c>
      <c r="C295" s="2" t="s">
        <v>824</v>
      </c>
      <c r="E295" s="2" t="str">
        <f>IFERROR(__xludf.DUMMYFUNCTION("REGEXREPLACE(A295,""^Trường\s*"","""")"),"Tiểu học Phúc Thịnh")</f>
        <v>Tiểu học Phúc Thịnh</v>
      </c>
    </row>
    <row r="296">
      <c r="A296" s="1" t="s">
        <v>968</v>
      </c>
      <c r="B296" s="2" t="s">
        <v>969</v>
      </c>
      <c r="C296" s="2" t="s">
        <v>824</v>
      </c>
      <c r="E296" s="2" t="str">
        <f>IFERROR(__xludf.DUMMYFUNCTION("REGEXREPLACE(A296,""^Trường\s*"","""")"),"TH&amp;THCS Phùng Minh")</f>
        <v>TH&amp;THCS Phùng Minh</v>
      </c>
    </row>
    <row r="297">
      <c r="A297" s="1" t="s">
        <v>1428</v>
      </c>
      <c r="B297" s="2" t="s">
        <v>1429</v>
      </c>
      <c r="C297" s="2" t="s">
        <v>830</v>
      </c>
      <c r="E297" s="2" t="str">
        <f>IFERROR(__xludf.DUMMYFUNCTION("REGEXREPLACE(A297,""^Trường\s*"","""")"),"Tiểu Học Thành Trực")</f>
        <v>Tiểu Học Thành Trực</v>
      </c>
    </row>
    <row r="298">
      <c r="A298" s="1" t="s">
        <v>1434</v>
      </c>
      <c r="B298" s="2" t="s">
        <v>1436</v>
      </c>
      <c r="C298" s="2" t="s">
        <v>830</v>
      </c>
      <c r="E298" s="2" t="str">
        <f>IFERROR(__xludf.DUMMYFUNCTION("REGEXREPLACE(A298,""^Trường\s*"","""")"),"Tiểu học Thành Kim")</f>
        <v>Tiểu học Thành Kim</v>
      </c>
    </row>
    <row r="299">
      <c r="A299" s="1" t="s">
        <v>1439</v>
      </c>
      <c r="B299" s="2" t="s">
        <v>1441</v>
      </c>
      <c r="C299" s="2" t="s">
        <v>830</v>
      </c>
      <c r="E299" s="2" t="str">
        <f>IFERROR(__xludf.DUMMYFUNCTION("REGEXREPLACE(A299,""^Trường\s*"","""")"),"Tiểu học Kim Tân")</f>
        <v>Tiểu học Kim Tân</v>
      </c>
    </row>
    <row r="300">
      <c r="A300" s="1" t="s">
        <v>1444</v>
      </c>
      <c r="B300" s="2" t="s">
        <v>1447</v>
      </c>
      <c r="C300" s="2" t="s">
        <v>830</v>
      </c>
      <c r="E300" s="2" t="str">
        <f>IFERROR(__xludf.DUMMYFUNCTION("REGEXREPLACE(A300,""^Trường\s*"","""")"),"Tiểu Học Thành Hưng")</f>
        <v>Tiểu Học Thành Hưng</v>
      </c>
    </row>
    <row r="301">
      <c r="A301" s="1" t="s">
        <v>1453</v>
      </c>
      <c r="B301" s="2" t="s">
        <v>1454</v>
      </c>
      <c r="C301" s="2" t="s">
        <v>830</v>
      </c>
      <c r="E301" s="2" t="str">
        <f>IFERROR(__xludf.DUMMYFUNCTION("REGEXREPLACE(A301,""^Trường\s*"","""")"),"Tiểu học Thành Tiến")</f>
        <v>Tiểu học Thành Tiến</v>
      </c>
    </row>
    <row r="302">
      <c r="A302" s="1" t="s">
        <v>1459</v>
      </c>
      <c r="B302" s="2" t="s">
        <v>1461</v>
      </c>
      <c r="C302" s="2" t="s">
        <v>830</v>
      </c>
      <c r="E302" s="2" t="str">
        <f>IFERROR(__xludf.DUMMYFUNCTION("REGEXREPLACE(A302,""^Trường\s*"","""")"),"Tiểu học Thành Thọ")</f>
        <v>Tiểu học Thành Thọ</v>
      </c>
    </row>
    <row r="303">
      <c r="A303" s="1" t="s">
        <v>1235</v>
      </c>
      <c r="B303" s="2" t="s">
        <v>1237</v>
      </c>
      <c r="C303" s="2" t="s">
        <v>830</v>
      </c>
      <c r="E303" s="2" t="str">
        <f>IFERROR(__xludf.DUMMYFUNCTION("REGEXREPLACE(A303,""^Trường\s*"","""")"),"TH&amp;THCS Thạch Định")</f>
        <v>TH&amp;THCS Thạch Định</v>
      </c>
    </row>
    <row r="304">
      <c r="A304" s="1" t="s">
        <v>1467</v>
      </c>
      <c r="B304" s="2" t="s">
        <v>1468</v>
      </c>
      <c r="C304" s="2" t="s">
        <v>847</v>
      </c>
      <c r="E304" s="2" t="str">
        <f>IFERROR(__xludf.DUMMYFUNCTION("REGEXREPLACE(A304,""^Trường\s*"","""")"),"Tiểu học Xuân Bái")</f>
        <v>Tiểu học Xuân Bái</v>
      </c>
    </row>
    <row r="305">
      <c r="A305" s="1" t="s">
        <v>1470</v>
      </c>
      <c r="B305" s="2" t="s">
        <v>1472</v>
      </c>
      <c r="C305" s="2" t="s">
        <v>847</v>
      </c>
      <c r="E305" s="2" t="str">
        <f>IFERROR(__xludf.DUMMYFUNCTION("REGEXREPLACE(A305,""^Trường\s*"","""")"),"Tiểu học Lam Sơn")</f>
        <v>Tiểu học Lam Sơn</v>
      </c>
    </row>
    <row r="306">
      <c r="A306" s="1" t="s">
        <v>1473</v>
      </c>
      <c r="B306" s="2" t="s">
        <v>1475</v>
      </c>
      <c r="C306" s="2" t="s">
        <v>847</v>
      </c>
      <c r="E306" s="2" t="str">
        <f>IFERROR(__xludf.DUMMYFUNCTION("REGEXREPLACE(A306,""^Trường\s*"","""")"),"Tiểu học Thọ Xương")</f>
        <v>Tiểu học Thọ Xương</v>
      </c>
    </row>
    <row r="307">
      <c r="A307" s="1" t="s">
        <v>1480</v>
      </c>
      <c r="B307" s="2" t="s">
        <v>1481</v>
      </c>
      <c r="C307" s="2" t="s">
        <v>726</v>
      </c>
      <c r="E307" s="2" t="str">
        <f>IFERROR(__xludf.DUMMYFUNCTION("REGEXREPLACE(A307,""^Trường\s*"","""")"),"Tiểu Học Linh Sơn - Xã Linh Sơn")</f>
        <v>Tiểu Học Linh Sơn - Xã Linh Sơn</v>
      </c>
    </row>
    <row r="308">
      <c r="A308" s="1" t="s">
        <v>1482</v>
      </c>
      <c r="B308" s="2" t="s">
        <v>1483</v>
      </c>
      <c r="C308" s="2" t="s">
        <v>726</v>
      </c>
      <c r="E308" s="2" t="str">
        <f>IFERROR(__xludf.DUMMYFUNCTION("REGEXREPLACE(A308,""^Trường\s*"","""")"),"Tiểu học Linh Sơn 2")</f>
        <v>Tiểu học Linh Sơn 2</v>
      </c>
    </row>
    <row r="309">
      <c r="A309" s="1" t="s">
        <v>722</v>
      </c>
      <c r="B309" s="2" t="s">
        <v>723</v>
      </c>
      <c r="C309" s="2" t="s">
        <v>726</v>
      </c>
      <c r="E309" s="2" t="str">
        <f>IFERROR(__xludf.DUMMYFUNCTION("REGEXREPLACE(A309,""^Trường\s*"","""")"),"THamp;THCS Chí Linh")</f>
        <v>THamp;THCS Chí Linh</v>
      </c>
    </row>
    <row r="310">
      <c r="A310" s="1" t="s">
        <v>1484</v>
      </c>
      <c r="B310" s="2" t="s">
        <v>1485</v>
      </c>
      <c r="C310" s="2" t="s">
        <v>1321</v>
      </c>
      <c r="E310" s="2" t="str">
        <f>IFERROR(__xludf.DUMMYFUNCTION("REGEXREPLACE(A310,""^Trường\s*"","""")"),"tiểu học Hà Châu")</f>
        <v>tiểu học Hà Châu</v>
      </c>
    </row>
    <row r="311">
      <c r="A311" s="1" t="s">
        <v>1487</v>
      </c>
      <c r="B311" s="2" t="s">
        <v>1488</v>
      </c>
      <c r="C311" s="2" t="s">
        <v>1321</v>
      </c>
      <c r="E311" s="2" t="str">
        <f>IFERROR(__xludf.DUMMYFUNCTION("REGEXREPLACE(A311,""^Trường\s*"","""")"),"tiểu học Hà Lai")</f>
        <v>tiểu học Hà Lai</v>
      </c>
    </row>
    <row r="312">
      <c r="A312" s="1" t="s">
        <v>1489</v>
      </c>
      <c r="B312" s="2" t="s">
        <v>1491</v>
      </c>
      <c r="C312" s="2" t="s">
        <v>1321</v>
      </c>
      <c r="E312" s="2" t="str">
        <f>IFERROR(__xludf.DUMMYFUNCTION("REGEXREPLACE(A312,""^Trường\s*"","""")"),"Tiểu học Hà Thái")</f>
        <v>Tiểu học Hà Thái</v>
      </c>
    </row>
    <row r="313">
      <c r="A313" s="1" t="s">
        <v>1494</v>
      </c>
      <c r="B313" s="2" t="s">
        <v>1495</v>
      </c>
      <c r="C313" s="2" t="s">
        <v>1321</v>
      </c>
      <c r="E313" s="2" t="str">
        <f>IFERROR(__xludf.DUMMYFUNCTION("REGEXREPLACE(A313,""^Trường\s*"","""")"),"Tiểu Học Lĩnh Toại")</f>
        <v>Tiểu Học Lĩnh Toại</v>
      </c>
    </row>
    <row r="314">
      <c r="A314" s="1" t="s">
        <v>1498</v>
      </c>
      <c r="B314" s="2" t="s">
        <v>1499</v>
      </c>
      <c r="C314" s="2" t="s">
        <v>1321</v>
      </c>
      <c r="E314" s="2" t="str">
        <f>IFERROR(__xludf.DUMMYFUNCTION("REGEXREPLACE(A314,""^Trường\s*"","""")"),"Tiểu Học Hà Hải")</f>
        <v>Tiểu Học Hà Hải</v>
      </c>
    </row>
    <row r="315">
      <c r="A315" s="1" t="s">
        <v>1501</v>
      </c>
      <c r="B315" s="2" t="s">
        <v>1503</v>
      </c>
      <c r="C315" s="2" t="s">
        <v>879</v>
      </c>
      <c r="E315" s="2" t="str">
        <f>IFERROR(__xludf.DUMMYFUNCTION("REGEXREPLACE(A315,""^Trường\s*"","""")"),"Tiểu học Luận Thành")</f>
        <v>Tiểu học Luận Thành</v>
      </c>
    </row>
    <row r="316">
      <c r="A316" s="1" t="s">
        <v>1505</v>
      </c>
      <c r="B316" s="2" t="s">
        <v>1507</v>
      </c>
      <c r="C316" s="2" t="s">
        <v>879</v>
      </c>
      <c r="E316" s="2" t="str">
        <f>IFERROR(__xludf.DUMMYFUNCTION("REGEXREPLACE(A316,""^Trường\s*"","""")"),"Tiểu Học Xuân Cao")</f>
        <v>Tiểu Học Xuân Cao</v>
      </c>
    </row>
    <row r="317">
      <c r="A317" s="1" t="s">
        <v>1509</v>
      </c>
      <c r="B317" s="2" t="s">
        <v>1510</v>
      </c>
      <c r="C317" s="2" t="s">
        <v>1512</v>
      </c>
      <c r="E317" s="2" t="str">
        <f>IFERROR(__xludf.DUMMYFUNCTION("REGEXREPLACE(A317,""^Trường\s*"","""")"),"Tiểu Học Lương Sơn 2")</f>
        <v>Tiểu Học Lương Sơn 2</v>
      </c>
    </row>
    <row r="318">
      <c r="A318" s="1" t="s">
        <v>1514</v>
      </c>
      <c r="B318" s="2" t="s">
        <v>1515</v>
      </c>
      <c r="C318" s="2" t="s">
        <v>1512</v>
      </c>
      <c r="E318" s="2" t="str">
        <f>IFERROR(__xludf.DUMMYFUNCTION("REGEXREPLACE(A318,""^Trường\s*"","""")"),"Tiểu Học Lương Sơn 1")</f>
        <v>Tiểu Học Lương Sơn 1</v>
      </c>
    </row>
    <row r="319">
      <c r="A319" s="1" t="s">
        <v>19</v>
      </c>
      <c r="B319" s="2" t="s">
        <v>20</v>
      </c>
      <c r="C319" s="2" t="s">
        <v>21</v>
      </c>
      <c r="E319" s="2" t="str">
        <f>IFERROR(__xludf.DUMMYFUNCTION("REGEXREPLACE(A319,""^Trường\s*"","""")"),"TH, THCS&amp;THPT Nobel School III")</f>
        <v>TH, THCS&amp;THPT Nobel School III</v>
      </c>
    </row>
    <row r="320">
      <c r="A320" s="1" t="s">
        <v>1519</v>
      </c>
      <c r="B320" s="2" t="s">
        <v>1521</v>
      </c>
      <c r="C320" s="2" t="s">
        <v>21</v>
      </c>
      <c r="E320" s="2" t="str">
        <f>IFERROR(__xludf.DUMMYFUNCTION("REGEXREPLACE(A320,""^Trường\s*"","""")"),"Tiểu học Tân Phong 2")</f>
        <v>Tiểu học Tân Phong 2</v>
      </c>
    </row>
    <row r="321">
      <c r="A321" s="1" t="s">
        <v>1523</v>
      </c>
      <c r="B321" s="2" t="s">
        <v>1524</v>
      </c>
      <c r="C321" s="2" t="s">
        <v>21</v>
      </c>
      <c r="E321" s="2" t="str">
        <f>IFERROR(__xludf.DUMMYFUNCTION("REGEXREPLACE(A321,""^Trường\s*"","""")"),"Tiểu học Tân Phong 3")</f>
        <v>Tiểu học Tân Phong 3</v>
      </c>
    </row>
    <row r="322">
      <c r="A322" s="1" t="s">
        <v>1527</v>
      </c>
      <c r="B322" s="2" t="s">
        <v>1528</v>
      </c>
      <c r="C322" s="2" t="s">
        <v>21</v>
      </c>
      <c r="E322" s="2" t="str">
        <f>IFERROR(__xludf.DUMMYFUNCTION("REGEXREPLACE(A322,""^Trường\s*"","""")"),"Tiểu học Tân Phong 1")</f>
        <v>Tiểu học Tân Phong 1</v>
      </c>
    </row>
    <row r="323">
      <c r="A323" s="1" t="s">
        <v>1530</v>
      </c>
      <c r="B323" s="2" t="s">
        <v>1533</v>
      </c>
      <c r="C323" s="2" t="s">
        <v>21</v>
      </c>
      <c r="E323" s="2" t="str">
        <f>IFERROR(__xludf.DUMMYFUNCTION("REGEXREPLACE(A323,""^Trường\s*"","""")"),"Tiểu học Quảng Định")</f>
        <v>Tiểu học Quảng Định</v>
      </c>
    </row>
    <row r="324">
      <c r="A324" s="1" t="s">
        <v>1534</v>
      </c>
      <c r="B324" s="2" t="s">
        <v>1535</v>
      </c>
      <c r="C324" s="2" t="s">
        <v>21</v>
      </c>
      <c r="E324" s="2" t="str">
        <f>IFERROR(__xludf.DUMMYFUNCTION("REGEXREPLACE(A324,""^Trường\s*"","""")"),"Tiểu học Quảng Đức")</f>
        <v>Tiểu học Quảng Đức</v>
      </c>
    </row>
    <row r="325">
      <c r="A325" s="1" t="s">
        <v>1543</v>
      </c>
      <c r="B325" s="2" t="s">
        <v>1544</v>
      </c>
      <c r="C325" s="2" t="s">
        <v>1545</v>
      </c>
      <c r="E325" s="2" t="str">
        <f>IFERROR(__xludf.DUMMYFUNCTION("REGEXREPLACE(A325,""^Trường\s*"","""")"),"Tiểu học Phú Nhuận")</f>
        <v>Tiểu học Phú Nhuận</v>
      </c>
    </row>
    <row r="326">
      <c r="A326" s="1" t="s">
        <v>1546</v>
      </c>
      <c r="B326" s="2" t="s">
        <v>1549</v>
      </c>
      <c r="C326" s="2" t="s">
        <v>1545</v>
      </c>
      <c r="E326" s="2" t="str">
        <f>IFERROR(__xludf.DUMMYFUNCTION("REGEXREPLACE(A326,""^Trường\s*"","""")"),"Tiểu học Mậu Lâm 1")</f>
        <v>Tiểu học Mậu Lâm 1</v>
      </c>
    </row>
    <row r="327">
      <c r="A327" s="1" t="s">
        <v>1551</v>
      </c>
      <c r="B327" s="2" t="s">
        <v>1552</v>
      </c>
      <c r="C327" s="2" t="s">
        <v>1545</v>
      </c>
      <c r="E327" s="2" t="str">
        <f>IFERROR(__xludf.DUMMYFUNCTION("REGEXREPLACE(A327,""^Trường\s*"","""")"),"Tiểu học Mậu Lâm 2")</f>
        <v>Tiểu học Mậu Lâm 2</v>
      </c>
    </row>
    <row r="328">
      <c r="A328" s="1" t="s">
        <v>1470</v>
      </c>
      <c r="B328" s="2" t="s">
        <v>1555</v>
      </c>
      <c r="C328" s="2" t="s">
        <v>852</v>
      </c>
      <c r="E328" s="2" t="str">
        <f>IFERROR(__xludf.DUMMYFUNCTION("REGEXREPLACE(A328,""^Trường\s*"","""")"),"Tiểu học Lam Sơn")</f>
        <v>Tiểu học Lam Sơn</v>
      </c>
    </row>
    <row r="329">
      <c r="A329" s="1" t="s">
        <v>1558</v>
      </c>
      <c r="B329" s="2" t="s">
        <v>1559</v>
      </c>
      <c r="C329" s="2" t="s">
        <v>852</v>
      </c>
      <c r="E329" s="2" t="str">
        <f>IFERROR(__xludf.DUMMYFUNCTION("REGEXREPLACE(A329,""^Trường\s*"","""")"),"Tiểu học Minh Sơn 1")</f>
        <v>Tiểu học Minh Sơn 1</v>
      </c>
    </row>
    <row r="330">
      <c r="A330" s="1" t="s">
        <v>1561</v>
      </c>
      <c r="B330" s="2" t="s">
        <v>1563</v>
      </c>
      <c r="C330" s="2" t="s">
        <v>852</v>
      </c>
      <c r="E330" s="2" t="str">
        <f>IFERROR(__xludf.DUMMYFUNCTION("REGEXREPLACE(A330,""^Trường\s*"","""")"),"Tiểu Học Minh Tiến")</f>
        <v>Tiểu Học Minh Tiến</v>
      </c>
    </row>
    <row r="331">
      <c r="A331" s="1" t="s">
        <v>1564</v>
      </c>
      <c r="B331" s="2" t="s">
        <v>1566</v>
      </c>
      <c r="C331" s="2" t="s">
        <v>852</v>
      </c>
      <c r="E331" s="2" t="str">
        <f>IFERROR(__xludf.DUMMYFUNCTION("REGEXREPLACE(A331,""^Trường\s*"","""")"),"Tiểu học Cao Ngọc")</f>
        <v>Tiểu học Cao Ngọc</v>
      </c>
    </row>
    <row r="332">
      <c r="A332" s="1" t="s">
        <v>1568</v>
      </c>
      <c r="B332" s="2" t="s">
        <v>1569</v>
      </c>
      <c r="C332" s="2" t="s">
        <v>852</v>
      </c>
      <c r="E332" s="2" t="str">
        <f>IFERROR(__xludf.DUMMYFUNCTION("REGEXREPLACE(A332,""^Trường\s*"","""")"),"Tiểu học Minh Sơn 2")</f>
        <v>Tiểu học Minh Sơn 2</v>
      </c>
    </row>
    <row r="333">
      <c r="A333" s="1" t="s">
        <v>1572</v>
      </c>
      <c r="B333" s="2" t="s">
        <v>1573</v>
      </c>
      <c r="C333" s="2" t="s">
        <v>302</v>
      </c>
      <c r="E333" s="2" t="str">
        <f>IFERROR(__xludf.DUMMYFUNCTION("REGEXREPLACE(A333,""^Trường\s*"","""")"),"Tiểu học Mường Chanh")</f>
        <v>Tiểu học Mường Chanh</v>
      </c>
    </row>
    <row r="334">
      <c r="A334" s="1" t="s">
        <v>1576</v>
      </c>
      <c r="B334" s="2" t="s">
        <v>1577</v>
      </c>
      <c r="C334" s="2" t="s">
        <v>268</v>
      </c>
      <c r="E334" s="2" t="str">
        <f>IFERROR(__xludf.DUMMYFUNCTION("REGEXREPLACE(A334,""^Trường\s*"","""")"),"Tiểu học Tén Tằn")</f>
        <v>Tiểu học Tén Tằn</v>
      </c>
    </row>
    <row r="335">
      <c r="A335" s="1" t="s">
        <v>264</v>
      </c>
      <c r="B335" s="2" t="s">
        <v>265</v>
      </c>
      <c r="C335" s="2" t="s">
        <v>268</v>
      </c>
      <c r="E335" s="2" t="str">
        <f>IFERROR(__xludf.DUMMYFUNCTION("REGEXREPLACE(A335,""^Trường\s*"","""")"),"TH và THCS Mường Lát")</f>
        <v>TH và THCS Mường Lát</v>
      </c>
    </row>
    <row r="336">
      <c r="A336" s="1" t="s">
        <v>1583</v>
      </c>
      <c r="B336" s="2" t="s">
        <v>1584</v>
      </c>
      <c r="C336" s="2" t="s">
        <v>318</v>
      </c>
      <c r="E336" s="2" t="str">
        <f>IFERROR(__xludf.DUMMYFUNCTION("REGEXREPLACE(A336,""^Trường\s*"","""")"),"Tiểu học Mường Lý")</f>
        <v>Tiểu học Mường Lý</v>
      </c>
    </row>
    <row r="337">
      <c r="A337" s="1" t="s">
        <v>1586</v>
      </c>
      <c r="B337" s="2" t="s">
        <v>1588</v>
      </c>
      <c r="C337" s="2" t="s">
        <v>318</v>
      </c>
      <c r="E337" s="2" t="str">
        <f>IFERROR(__xludf.DUMMYFUNCTION("REGEXREPLACE(A337,""^Trường\s*"","""")"),"Tiểu học Tây Tiến")</f>
        <v>Tiểu học Tây Tiến</v>
      </c>
    </row>
    <row r="338">
      <c r="A338" s="1" t="s">
        <v>1589</v>
      </c>
      <c r="B338" s="2" t="s">
        <v>1590</v>
      </c>
      <c r="C338" s="2" t="s">
        <v>52</v>
      </c>
      <c r="E338" s="2" t="str">
        <f>IFERROR(__xludf.DUMMYFUNCTION("REGEXREPLACE(A338,""^Trường\s*"","""")"),"Tiểu học Mường Mìn")</f>
        <v>Tiểu học Mường Mìn</v>
      </c>
    </row>
    <row r="339">
      <c r="A339" s="1" t="s">
        <v>1592</v>
      </c>
      <c r="B339" s="2" t="s">
        <v>1593</v>
      </c>
      <c r="C339" s="2" t="s">
        <v>710</v>
      </c>
      <c r="E339" s="2" t="str">
        <f>IFERROR(__xludf.DUMMYFUNCTION("REGEXREPLACE(A339,""^Trường\s*"","""")"),"Tiểu học Na Mèo")</f>
        <v>Tiểu học Na Mèo</v>
      </c>
    </row>
    <row r="340">
      <c r="A340" s="1" t="s">
        <v>1596</v>
      </c>
      <c r="B340" s="2" t="s">
        <v>1597</v>
      </c>
      <c r="C340" s="2" t="s">
        <v>354</v>
      </c>
      <c r="E340" s="2" t="str">
        <f>IFERROR(__xludf.DUMMYFUNCTION("REGEXREPLACE(A340,""^Trường\s*"","""")"),"Tiểu học Nam Tiến")</f>
        <v>Tiểu học Nam Tiến</v>
      </c>
    </row>
    <row r="341">
      <c r="A341" s="1" t="s">
        <v>1600</v>
      </c>
      <c r="B341" s="2" t="s">
        <v>1601</v>
      </c>
      <c r="C341" s="2" t="s">
        <v>354</v>
      </c>
      <c r="E341" s="2" t="str">
        <f>IFERROR(__xludf.DUMMYFUNCTION("REGEXREPLACE(A341,""^Trường\s*"","""")"),"Tiểu học Nam Xuân")</f>
        <v>Tiểu học Nam Xuân</v>
      </c>
    </row>
    <row r="342">
      <c r="A342" s="1" t="s">
        <v>1603</v>
      </c>
      <c r="B342" s="2" t="s">
        <v>1605</v>
      </c>
      <c r="C342" s="2" t="s">
        <v>1606</v>
      </c>
      <c r="E342" s="2" t="str">
        <f>IFERROR(__xludf.DUMMYFUNCTION("REGEXREPLACE(A342,""^Trường\s*"","""")"),"tiểu học Nga Điền")</f>
        <v>tiểu học Nga Điền</v>
      </c>
    </row>
    <row r="343">
      <c r="A343" s="1" t="s">
        <v>1608</v>
      </c>
      <c r="B343" s="2" t="s">
        <v>1610</v>
      </c>
      <c r="C343" s="2" t="s">
        <v>1606</v>
      </c>
      <c r="E343" s="2" t="str">
        <f>IFERROR(__xludf.DUMMYFUNCTION("REGEXREPLACE(A343,""^Trường\s*"","""")"),"tiểu học Nga Phú")</f>
        <v>tiểu học Nga Phú</v>
      </c>
    </row>
    <row r="344">
      <c r="A344" s="1" t="s">
        <v>1612</v>
      </c>
      <c r="B344" s="2" t="s">
        <v>1613</v>
      </c>
      <c r="C344" s="2" t="s">
        <v>1606</v>
      </c>
      <c r="E344" s="2" t="str">
        <f>IFERROR(__xludf.DUMMYFUNCTION("REGEXREPLACE(A344,""^Trường\s*"","""")"),"tiểu học Nga An")</f>
        <v>tiểu học Nga An</v>
      </c>
    </row>
    <row r="345">
      <c r="A345" s="1" t="s">
        <v>1616</v>
      </c>
      <c r="B345" s="2" t="s">
        <v>1617</v>
      </c>
      <c r="C345" s="2" t="s">
        <v>1606</v>
      </c>
      <c r="E345" s="2" t="str">
        <f>IFERROR(__xludf.DUMMYFUNCTION("REGEXREPLACE(A345,""^Trường\s*"","""")"),"tiểu học Nga Điền 2")</f>
        <v>tiểu học Nga Điền 2</v>
      </c>
    </row>
    <row r="346">
      <c r="A346" s="1" t="s">
        <v>1619</v>
      </c>
      <c r="B346" s="2" t="s">
        <v>1621</v>
      </c>
      <c r="C346" s="2" t="s">
        <v>944</v>
      </c>
      <c r="E346" s="2" t="str">
        <f>IFERROR(__xludf.DUMMYFUNCTION("REGEXREPLACE(A346,""^Trường\s*"","""")"),"Tiểu Học Nga Thủy")</f>
        <v>Tiểu Học Nga Thủy</v>
      </c>
    </row>
    <row r="347">
      <c r="A347" s="1" t="s">
        <v>1622</v>
      </c>
      <c r="B347" s="2" t="s">
        <v>1624</v>
      </c>
      <c r="C347" s="2" t="s">
        <v>944</v>
      </c>
      <c r="E347" s="2" t="str">
        <f>IFERROR(__xludf.DUMMYFUNCTION("REGEXREPLACE(A347,""^Trường\s*"","""")"),"Tiểu Học Thị Trấn Nga Sơn")</f>
        <v>Tiểu Học Thị Trấn Nga Sơn</v>
      </c>
    </row>
    <row r="348">
      <c r="A348" s="1" t="s">
        <v>1626</v>
      </c>
      <c r="B348" s="2" t="s">
        <v>1627</v>
      </c>
      <c r="C348" s="2" t="s">
        <v>944</v>
      </c>
      <c r="E348" s="2" t="str">
        <f>IFERROR(__xludf.DUMMYFUNCTION("REGEXREPLACE(A348,""^Trường\s*"","""")"),"Tiểu học Nga Bạch")</f>
        <v>Tiểu học Nga Bạch</v>
      </c>
    </row>
    <row r="349">
      <c r="A349" s="1" t="s">
        <v>1629</v>
      </c>
      <c r="B349" s="2" t="s">
        <v>1630</v>
      </c>
      <c r="C349" s="2" t="s">
        <v>944</v>
      </c>
      <c r="E349" s="2" t="str">
        <f>IFERROR(__xludf.DUMMYFUNCTION("REGEXREPLACE(A349,""^Trường\s*"","""")"),"tiểu học Nga Thanh")</f>
        <v>tiểu học Nga Thanh</v>
      </c>
    </row>
    <row r="350">
      <c r="A350" s="1" t="s">
        <v>1632</v>
      </c>
      <c r="B350" s="2" t="s">
        <v>1634</v>
      </c>
      <c r="C350" s="2" t="s">
        <v>944</v>
      </c>
      <c r="E350" s="2" t="str">
        <f>IFERROR(__xludf.DUMMYFUNCTION("REGEXREPLACE(A350,""^Trường\s*"","""")"),"Tiểu học Nga Yên")</f>
        <v>Tiểu học Nga Yên</v>
      </c>
    </row>
    <row r="351">
      <c r="A351" s="1" t="s">
        <v>1636</v>
      </c>
      <c r="B351" s="2" t="s">
        <v>1638</v>
      </c>
      <c r="C351" s="2" t="s">
        <v>944</v>
      </c>
      <c r="E351" s="2" t="str">
        <f>IFERROR(__xludf.DUMMYFUNCTION("REGEXREPLACE(A351,""^Trường\s*"","""")"),"tiểu học Nga Trung")</f>
        <v>tiểu học Nga Trung</v>
      </c>
    </row>
    <row r="352">
      <c r="A352" s="1" t="s">
        <v>1641</v>
      </c>
      <c r="B352" s="2" t="s">
        <v>1642</v>
      </c>
      <c r="C352" s="2" t="s">
        <v>944</v>
      </c>
      <c r="E352" s="2" t="str">
        <f>IFERROR(__xludf.DUMMYFUNCTION("REGEXREPLACE(A352,""^Trường\s*"","""")"),"Tiểu Học Mỹ Hưng")</f>
        <v>Tiểu Học Mỹ Hưng</v>
      </c>
    </row>
    <row r="353">
      <c r="A353" s="1" t="s">
        <v>1645</v>
      </c>
      <c r="B353" s="2" t="s">
        <v>1646</v>
      </c>
      <c r="C353" s="2" t="s">
        <v>1647</v>
      </c>
      <c r="E353" s="2" t="str">
        <f>IFERROR(__xludf.DUMMYFUNCTION("REGEXREPLACE(A353,""^Trường\s*"","""")"),"Tiểu học Nga Phượng 1")</f>
        <v>Tiểu học Nga Phượng 1</v>
      </c>
    </row>
    <row r="354">
      <c r="A354" s="1" t="s">
        <v>1649</v>
      </c>
      <c r="B354" s="2" t="s">
        <v>1651</v>
      </c>
      <c r="C354" s="2" t="s">
        <v>1647</v>
      </c>
      <c r="E354" s="2" t="str">
        <f>IFERROR(__xludf.DUMMYFUNCTION("REGEXREPLACE(A354,""^Trường\s*"","""")"),"tiểu học Nga Thắng")</f>
        <v>tiểu học Nga Thắng</v>
      </c>
    </row>
    <row r="355">
      <c r="A355" s="1" t="s">
        <v>1652</v>
      </c>
      <c r="B355" s="2" t="s">
        <v>1654</v>
      </c>
      <c r="C355" s="2" t="s">
        <v>1647</v>
      </c>
      <c r="E355" s="2" t="str">
        <f>IFERROR(__xludf.DUMMYFUNCTION("REGEXREPLACE(A355,""^Trường\s*"","""")"),"Tiểu học Nga Thạch")</f>
        <v>Tiểu học Nga Thạch</v>
      </c>
    </row>
    <row r="356">
      <c r="A356" s="1" t="s">
        <v>1657</v>
      </c>
      <c r="B356" s="2" t="s">
        <v>1658</v>
      </c>
      <c r="C356" s="2" t="s">
        <v>1647</v>
      </c>
      <c r="E356" s="2" t="str">
        <f>IFERROR(__xludf.DUMMYFUNCTION("REGEXREPLACE(A356,""^Trường\s*"","""")"),"Tiểu học Nga Phượng 2")</f>
        <v>Tiểu học Nga Phượng 2</v>
      </c>
    </row>
    <row r="357">
      <c r="A357" s="1" t="s">
        <v>1661</v>
      </c>
      <c r="B357" s="2" t="s">
        <v>1662</v>
      </c>
      <c r="C357" s="2" t="s">
        <v>1647</v>
      </c>
      <c r="E357" s="2" t="str">
        <f>IFERROR(__xludf.DUMMYFUNCTION("REGEXREPLACE(A357,""^Trường\s*"","""")"),"TH&amp;THCS Nga Văn")</f>
        <v>TH&amp;THCS Nga Văn</v>
      </c>
    </row>
    <row r="358">
      <c r="A358" s="1" t="s">
        <v>1664</v>
      </c>
      <c r="B358" s="2" t="s">
        <v>1666</v>
      </c>
      <c r="C358" s="2" t="s">
        <v>843</v>
      </c>
      <c r="E358" s="2" t="str">
        <f>IFERROR(__xludf.DUMMYFUNCTION("REGEXREPLACE(A358,""^Trường\s*"","""")"),"Tiểu học Thúy Sơn 1")</f>
        <v>Tiểu học Thúy Sơn 1</v>
      </c>
    </row>
    <row r="359">
      <c r="A359" s="1" t="s">
        <v>1668</v>
      </c>
      <c r="B359" s="2" t="s">
        <v>1670</v>
      </c>
      <c r="C359" s="2" t="s">
        <v>843</v>
      </c>
      <c r="E359" s="2" t="str">
        <f>IFERROR(__xludf.DUMMYFUNCTION("REGEXREPLACE(A359,""^Trường\s*"","""")"),"Tiểu học Ngọc Khê 1")</f>
        <v>Tiểu học Ngọc Khê 1</v>
      </c>
    </row>
    <row r="360">
      <c r="A360" s="1" t="s">
        <v>1671</v>
      </c>
      <c r="B360" s="2" t="s">
        <v>1673</v>
      </c>
      <c r="C360" s="2" t="s">
        <v>843</v>
      </c>
      <c r="E360" s="2" t="str">
        <f>IFERROR(__xludf.DUMMYFUNCTION("REGEXREPLACE(A360,""^Trường\s*"","""")"),"Tiểu học Mỹ Tân")</f>
        <v>Tiểu học Mỹ Tân</v>
      </c>
    </row>
    <row r="361">
      <c r="A361" s="1" t="s">
        <v>1675</v>
      </c>
      <c r="B361" s="2" t="s">
        <v>1676</v>
      </c>
      <c r="C361" s="2" t="s">
        <v>843</v>
      </c>
      <c r="E361" s="2" t="str">
        <f>IFERROR(__xludf.DUMMYFUNCTION("REGEXREPLACE(A361,""^Trường\s*"","""")"),"Tiểu học Ngọc Lặc")</f>
        <v>Tiểu học Ngọc Lặc</v>
      </c>
    </row>
    <row r="362">
      <c r="A362" s="1" t="s">
        <v>1679</v>
      </c>
      <c r="B362" s="2" t="s">
        <v>1680</v>
      </c>
      <c r="C362" s="2" t="s">
        <v>843</v>
      </c>
      <c r="E362" s="2" t="str">
        <f>IFERROR(__xludf.DUMMYFUNCTION("REGEXREPLACE(A362,""^Trường\s*"","""")"),"Tiểu học Ngọc Khê 2")</f>
        <v>Tiểu học Ngọc Khê 2</v>
      </c>
    </row>
    <row r="363">
      <c r="A363" s="1" t="s">
        <v>1681</v>
      </c>
      <c r="B363" s="2" t="s">
        <v>1683</v>
      </c>
      <c r="C363" s="2" t="s">
        <v>843</v>
      </c>
      <c r="E363" s="2" t="str">
        <f>IFERROR(__xludf.DUMMYFUNCTION("REGEXREPLACE(A363,""^Trường\s*"","""")"),"Tiểu học Thúy Sơn 2")</f>
        <v>Tiểu học Thúy Sơn 2</v>
      </c>
    </row>
    <row r="364">
      <c r="A364" s="1" t="s">
        <v>1685</v>
      </c>
      <c r="B364" s="2" t="s">
        <v>1686</v>
      </c>
      <c r="C364" s="2" t="s">
        <v>836</v>
      </c>
      <c r="E364" s="2" t="str">
        <f>IFERROR(__xludf.DUMMYFUNCTION("REGEXREPLACE(A364,""^Trường\s*"","""")"),"Tiểu học Ngọc Trung")</f>
        <v>Tiểu học Ngọc Trung</v>
      </c>
    </row>
    <row r="365">
      <c r="A365" s="1" t="s">
        <v>831</v>
      </c>
      <c r="B365" s="2" t="s">
        <v>833</v>
      </c>
      <c r="C365" s="2" t="s">
        <v>836</v>
      </c>
      <c r="E365" s="2" t="str">
        <f>IFERROR(__xludf.DUMMYFUNCTION("REGEXREPLACE(A365,""^Trường\s*"","""")"),"TH&amp;THCS Lộc Thịnh")</f>
        <v>TH&amp;THCS Lộc Thịnh</v>
      </c>
    </row>
    <row r="366">
      <c r="A366" s="1" t="s">
        <v>1691</v>
      </c>
      <c r="B366" s="2" t="s">
        <v>1692</v>
      </c>
      <c r="C366" s="2" t="s">
        <v>836</v>
      </c>
      <c r="E366" s="2" t="str">
        <f>IFERROR(__xludf.DUMMYFUNCTION("REGEXREPLACE(A366,""^Trường\s*"","""")"),"Tiểu học Cao Thịnh")</f>
        <v>Tiểu học Cao Thịnh</v>
      </c>
    </row>
    <row r="367">
      <c r="A367" s="1" t="s">
        <v>1694</v>
      </c>
      <c r="B367" s="2" t="s">
        <v>1696</v>
      </c>
      <c r="C367" s="2" t="s">
        <v>836</v>
      </c>
      <c r="E367" s="2" t="str">
        <f>IFERROR(__xludf.DUMMYFUNCTION("REGEXREPLACE(A367,""^Trường\s*"","""")"),"Tiểu học Ngọc Liên")</f>
        <v>Tiểu học Ngọc Liên</v>
      </c>
    </row>
    <row r="368">
      <c r="A368" s="1" t="s">
        <v>1697</v>
      </c>
      <c r="B368" s="2" t="s">
        <v>1699</v>
      </c>
      <c r="C368" s="2" t="s">
        <v>836</v>
      </c>
      <c r="E368" s="2" t="str">
        <f>IFERROR(__xludf.DUMMYFUNCTION("REGEXREPLACE(A368,""^Trường\s*"","""")"),"Tiểu học Ngọc Sơn")</f>
        <v>Tiểu học Ngọc Sơn</v>
      </c>
    </row>
    <row r="369">
      <c r="A369" s="1" t="s">
        <v>1701</v>
      </c>
      <c r="B369" s="2" t="s">
        <v>1702</v>
      </c>
      <c r="C369" s="2" t="s">
        <v>1272</v>
      </c>
      <c r="E369" s="2" t="str">
        <f>IFERROR(__xludf.DUMMYFUNCTION("REGEXREPLACE(A369,""^Trường\s*"","""")"),"Tiểu Học Thành Long")</f>
        <v>Tiểu Học Thành Long</v>
      </c>
    </row>
    <row r="370">
      <c r="A370" s="1" t="s">
        <v>1705</v>
      </c>
      <c r="B370" s="2" t="s">
        <v>1706</v>
      </c>
      <c r="C370" s="2" t="s">
        <v>1272</v>
      </c>
      <c r="E370" s="2" t="str">
        <f>IFERROR(__xludf.DUMMYFUNCTION("REGEXREPLACE(A370,""^Trường\s*"","""")"),"Tiểu học Thành An")</f>
        <v>Tiểu học Thành An</v>
      </c>
    </row>
    <row r="371">
      <c r="A371" s="1" t="s">
        <v>407</v>
      </c>
      <c r="B371" s="2" t="s">
        <v>1710</v>
      </c>
      <c r="C371" s="2" t="s">
        <v>1272</v>
      </c>
      <c r="E371" s="2" t="str">
        <f>IFERROR(__xludf.DUMMYFUNCTION("REGEXREPLACE(A371,""^Trường\s*"","""")"),"Tiểu học Ngọc Trạo")</f>
        <v>Tiểu học Ngọc Trạo</v>
      </c>
    </row>
    <row r="372">
      <c r="A372" s="1" t="s">
        <v>1717</v>
      </c>
      <c r="B372" s="2" t="s">
        <v>1718</v>
      </c>
      <c r="C372" s="2" t="s">
        <v>1272</v>
      </c>
      <c r="E372" s="2" t="str">
        <f>IFERROR(__xludf.DUMMYFUNCTION("REGEXREPLACE(A372,""^Trường\s*"","""")"),"Tiểu học Thành Tâm")</f>
        <v>Tiểu học Thành Tâm</v>
      </c>
    </row>
    <row r="373">
      <c r="A373" s="1" t="s">
        <v>1719</v>
      </c>
      <c r="B373" s="2" t="s">
        <v>1720</v>
      </c>
      <c r="C373" s="2" t="s">
        <v>861</v>
      </c>
      <c r="E373" s="2" t="str">
        <f>IFERROR(__xludf.DUMMYFUNCTION("REGEXREPLACE(A373,""^Trường\s*"","""")"),"Tiểu học Vân Am 2")</f>
        <v>Tiểu học Vân Am 2</v>
      </c>
    </row>
    <row r="374">
      <c r="A374" s="1" t="s">
        <v>1721</v>
      </c>
      <c r="B374" s="2" t="s">
        <v>1722</v>
      </c>
      <c r="C374" s="2" t="s">
        <v>861</v>
      </c>
      <c r="E374" s="2" t="str">
        <f>IFERROR(__xludf.DUMMYFUNCTION("REGEXREPLACE(A374,""^Trường\s*"","""")"),"Tiểu học Nguyệt Ấn 1")</f>
        <v>Tiểu học Nguyệt Ấn 1</v>
      </c>
    </row>
    <row r="375">
      <c r="A375" s="1" t="s">
        <v>1723</v>
      </c>
      <c r="B375" s="2" t="s">
        <v>1724</v>
      </c>
      <c r="C375" s="2" t="s">
        <v>861</v>
      </c>
      <c r="E375" s="2" t="str">
        <f>IFERROR(__xludf.DUMMYFUNCTION("REGEXREPLACE(A375,""^Trường\s*"","""")"),"Tiểu học Phùng Giáo")</f>
        <v>Tiểu học Phùng Giáo</v>
      </c>
    </row>
    <row r="376">
      <c r="A376" s="1" t="s">
        <v>1725</v>
      </c>
      <c r="B376" s="2" t="s">
        <v>1726</v>
      </c>
      <c r="C376" s="2" t="s">
        <v>861</v>
      </c>
      <c r="E376" s="2" t="str">
        <f>IFERROR(__xludf.DUMMYFUNCTION("REGEXREPLACE(A376,""^Trường\s*"","""")"),"Tiểu học Vân Am")</f>
        <v>Tiểu học Vân Am</v>
      </c>
    </row>
    <row r="377">
      <c r="A377" s="1" t="s">
        <v>1727</v>
      </c>
      <c r="B377" s="2" t="s">
        <v>1728</v>
      </c>
      <c r="C377" s="2" t="s">
        <v>861</v>
      </c>
      <c r="E377" s="2" t="str">
        <f>IFERROR(__xludf.DUMMYFUNCTION("REGEXREPLACE(A377,""^Trường\s*"","""")"),"Tiểu học Nguyệt Ấn 2")</f>
        <v>Tiểu học Nguyệt Ấn 2</v>
      </c>
    </row>
    <row r="378">
      <c r="A378" s="1" t="s">
        <v>1729</v>
      </c>
      <c r="B378" s="2" t="s">
        <v>1730</v>
      </c>
      <c r="C378" s="2" t="s">
        <v>325</v>
      </c>
      <c r="E378" s="2" t="str">
        <f>IFERROR(__xludf.DUMMYFUNCTION("REGEXREPLACE(A378,""^Trường\s*"","""")"),"Trưởng Tiểu học Nhi Sơn")</f>
        <v>Trưởng Tiểu học Nhi Sơn</v>
      </c>
    </row>
    <row r="379">
      <c r="A379" s="1" t="s">
        <v>1731</v>
      </c>
      <c r="B379" s="2" t="s">
        <v>1732</v>
      </c>
      <c r="C379" s="2" t="s">
        <v>998</v>
      </c>
      <c r="E379" s="2" t="str">
        <f>IFERROR(__xludf.DUMMYFUNCTION("REGEXREPLACE(A379,""^Trường\s*"","""")"),"Tiểu học Xuân Khang 2")</f>
        <v>Tiểu học Xuân Khang 2</v>
      </c>
    </row>
    <row r="380">
      <c r="A380" s="1" t="s">
        <v>1733</v>
      </c>
      <c r="B380" s="2" t="s">
        <v>1734</v>
      </c>
      <c r="C380" s="2" t="s">
        <v>998</v>
      </c>
      <c r="E380" s="2" t="str">
        <f>IFERROR(__xludf.DUMMYFUNCTION("REGEXREPLACE(A380,""^Trường\s*"","""")"),"Tiểu học Hải Long")</f>
        <v>Tiểu học Hải Long</v>
      </c>
    </row>
    <row r="381">
      <c r="A381" s="1" t="s">
        <v>1735</v>
      </c>
      <c r="B381" s="2" t="s">
        <v>1737</v>
      </c>
      <c r="C381" s="2" t="s">
        <v>998</v>
      </c>
      <c r="E381" s="2" t="str">
        <f>IFERROR(__xludf.DUMMYFUNCTION("REGEXREPLACE(A381,""^Trường\s*"","""")"),"Tiểu học Xuân Khang 1")</f>
        <v>Tiểu học Xuân Khang 1</v>
      </c>
    </row>
    <row r="382">
      <c r="A382" s="1" t="s">
        <v>1739</v>
      </c>
      <c r="B382" s="2" t="s">
        <v>1740</v>
      </c>
      <c r="C382" s="2" t="s">
        <v>998</v>
      </c>
      <c r="E382" s="2" t="str">
        <f>IFERROR(__xludf.DUMMYFUNCTION("REGEXREPLACE(A382,""^Trường\s*"","""")"),"Tiểu học Bến Sung")</f>
        <v>Tiểu học Bến Sung</v>
      </c>
    </row>
    <row r="383">
      <c r="A383" s="1" t="s">
        <v>1743</v>
      </c>
      <c r="B383" s="2" t="s">
        <v>1744</v>
      </c>
      <c r="C383" s="2" t="s">
        <v>1014</v>
      </c>
      <c r="E383" s="2" t="str">
        <f>IFERROR(__xludf.DUMMYFUNCTION("REGEXREPLACE(A383,""^Trường\s*"","""")"),"Tiểu Học Yên Cát")</f>
        <v>Tiểu Học Yên Cát</v>
      </c>
    </row>
    <row r="384">
      <c r="A384" s="1" t="s">
        <v>1747</v>
      </c>
      <c r="B384" s="2" t="s">
        <v>1748</v>
      </c>
      <c r="C384" s="2" t="s">
        <v>1014</v>
      </c>
      <c r="E384" s="2" t="str">
        <f>IFERROR(__xludf.DUMMYFUNCTION("REGEXREPLACE(A384,""^Trường\s*"","""")"),"THamp;THCS Tân Bình")</f>
        <v>THamp;THCS Tân Bình</v>
      </c>
    </row>
    <row r="385">
      <c r="A385" s="1" t="s">
        <v>1750</v>
      </c>
      <c r="B385" s="2" t="s">
        <v>1752</v>
      </c>
      <c r="C385" s="2" t="s">
        <v>1014</v>
      </c>
      <c r="E385" s="2" t="str">
        <f>IFERROR(__xludf.DUMMYFUNCTION("REGEXREPLACE(A385,""^Trường\s*"","""")"),"TH Và THCS Yên Lễ")</f>
        <v>TH Và THCS Yên Lễ</v>
      </c>
    </row>
    <row r="386">
      <c r="A386" s="1" t="s">
        <v>1753</v>
      </c>
      <c r="B386" s="2" t="s">
        <v>1755</v>
      </c>
      <c r="C386" s="2" t="s">
        <v>1025</v>
      </c>
      <c r="E386" s="2" t="str">
        <f>IFERROR(__xludf.DUMMYFUNCTION("REGEXREPLACE(A386,""^Trường\s*"","""")"),"Tiểu học Minh Thọ")</f>
        <v>Tiểu học Minh Thọ</v>
      </c>
    </row>
    <row r="387">
      <c r="A387" s="1" t="s">
        <v>1757</v>
      </c>
      <c r="B387" s="2" t="s">
        <v>1758</v>
      </c>
      <c r="C387" s="2" t="s">
        <v>1025</v>
      </c>
      <c r="E387" s="2" t="str">
        <f>IFERROR(__xludf.DUMMYFUNCTION("REGEXREPLACE(A387,""^Trường\s*"","""")"),"Tiểu học Minh Khôi")</f>
        <v>Tiểu học Minh Khôi</v>
      </c>
    </row>
    <row r="388">
      <c r="A388" s="1" t="s">
        <v>1761</v>
      </c>
      <c r="B388" s="2" t="s">
        <v>1762</v>
      </c>
      <c r="C388" s="2" t="s">
        <v>1025</v>
      </c>
      <c r="E388" s="2" t="str">
        <f>IFERROR(__xludf.DUMMYFUNCTION("REGEXREPLACE(A388,""^Trường\s*"","""")"),"Tiểu học Minh Nghĩa")</f>
        <v>Tiểu học Minh Nghĩa</v>
      </c>
    </row>
    <row r="389">
      <c r="A389" s="1" t="s">
        <v>1764</v>
      </c>
      <c r="B389" s="2" t="s">
        <v>1766</v>
      </c>
      <c r="C389" s="2" t="s">
        <v>1025</v>
      </c>
      <c r="E389" s="2" t="str">
        <f>IFERROR(__xludf.DUMMYFUNCTION("REGEXREPLACE(A389,""^Trường\s*"","""")"),"Tiểu học Vạn Hòa")</f>
        <v>Tiểu học Vạn Hòa</v>
      </c>
    </row>
    <row r="390">
      <c r="A390" s="1" t="s">
        <v>1768</v>
      </c>
      <c r="B390" s="2" t="s">
        <v>1770</v>
      </c>
      <c r="C390" s="2" t="s">
        <v>1025</v>
      </c>
      <c r="E390" s="2" t="str">
        <f>IFERROR(__xludf.DUMMYFUNCTION("REGEXREPLACE(A390,""^Trường\s*"","""")"),"Tiểu học Vạn Thắng")</f>
        <v>Tiểu học Vạn Thắng</v>
      </c>
    </row>
    <row r="391">
      <c r="A391" s="1" t="s">
        <v>1772</v>
      </c>
      <c r="B391" s="2" t="s">
        <v>1773</v>
      </c>
      <c r="C391" s="2" t="s">
        <v>1025</v>
      </c>
      <c r="E391" s="2" t="str">
        <f>IFERROR(__xludf.DUMMYFUNCTION("REGEXREPLACE(A391,""^Trường\s*"","""")"),"Tiểu học Vạn Thiện")</f>
        <v>Tiểu học Vạn Thiện</v>
      </c>
    </row>
    <row r="392">
      <c r="A392" s="1" t="s">
        <v>1777</v>
      </c>
      <c r="B392" s="2" t="s">
        <v>1778</v>
      </c>
      <c r="C392" s="2" t="s">
        <v>1025</v>
      </c>
      <c r="E392" s="2" t="str">
        <f>IFERROR(__xludf.DUMMYFUNCTION("REGEXREPLACE(A392,""^Trường\s*"","""")"),"Tiểu học Kim Đồng")</f>
        <v>Tiểu học Kim Đồng</v>
      </c>
    </row>
    <row r="393">
      <c r="A393" s="1" t="s">
        <v>510</v>
      </c>
      <c r="B393" s="2" t="s">
        <v>1781</v>
      </c>
      <c r="C393" s="2" t="s">
        <v>346</v>
      </c>
      <c r="E393" s="2" t="str">
        <f>IFERROR(__xludf.DUMMYFUNCTION("REGEXREPLACE(A393,""^Trường\s*"","""")"),"Tiểu học Phú Sơn")</f>
        <v>Tiểu học Phú Sơn</v>
      </c>
    </row>
    <row r="394">
      <c r="A394" s="1" t="s">
        <v>1784</v>
      </c>
      <c r="B394" s="2" t="s">
        <v>1787</v>
      </c>
      <c r="C394" s="2" t="s">
        <v>346</v>
      </c>
      <c r="E394" s="2" t="str">
        <f>IFERROR(__xludf.DUMMYFUNCTION("REGEXREPLACE(A394,""^Trường\s*"","""")"),"Tiểu học Phú Thanh")</f>
        <v>Tiểu học Phú Thanh</v>
      </c>
    </row>
    <row r="395">
      <c r="A395" s="1" t="s">
        <v>1790</v>
      </c>
      <c r="B395" s="2" t="s">
        <v>1791</v>
      </c>
      <c r="C395" s="2" t="s">
        <v>346</v>
      </c>
      <c r="E395" s="2" t="str">
        <f>IFERROR(__xludf.DUMMYFUNCTION("REGEXREPLACE(A395,""^Trường\s*"","""")"),"Tiểu học Phú Lệ")</f>
        <v>Tiểu học Phú Lệ</v>
      </c>
    </row>
    <row r="396">
      <c r="A396" s="1" t="s">
        <v>1794</v>
      </c>
      <c r="B396" s="2" t="s">
        <v>1795</v>
      </c>
      <c r="C396" s="2" t="s">
        <v>421</v>
      </c>
      <c r="E396" s="2" t="str">
        <f>IFERROR(__xludf.DUMMYFUNCTION("REGEXREPLACE(A396,""^Trường\s*"","""")"),"Tiểu học Phú Xuân")</f>
        <v>Tiểu học Phú Xuân</v>
      </c>
    </row>
    <row r="397">
      <c r="A397" s="1" t="s">
        <v>1797</v>
      </c>
      <c r="B397" s="2" t="s">
        <v>1799</v>
      </c>
      <c r="C397" s="2" t="s">
        <v>421</v>
      </c>
      <c r="E397" s="2" t="str">
        <f>IFERROR(__xludf.DUMMYFUNCTION("REGEXREPLACE(A397,""^Trường\s*"","""")"),"Tiểu học Thanh Xuân")</f>
        <v>Tiểu học Thanh Xuân</v>
      </c>
    </row>
    <row r="398">
      <c r="A398" s="1" t="s">
        <v>1801</v>
      </c>
      <c r="B398" s="2" t="s">
        <v>1803</v>
      </c>
      <c r="C398" s="2" t="s">
        <v>38</v>
      </c>
      <c r="E398" s="2" t="str">
        <f>IFERROR(__xludf.DUMMYFUNCTION("REGEXREPLACE(A398,""^Trường\s*"","""")"),"Tiểu học Thành Lâm")</f>
        <v>Tiểu học Thành Lâm</v>
      </c>
    </row>
    <row r="399">
      <c r="A399" s="1" t="s">
        <v>1805</v>
      </c>
      <c r="B399" s="2" t="s">
        <v>1806</v>
      </c>
      <c r="C399" s="2" t="s">
        <v>38</v>
      </c>
      <c r="E399" s="2" t="str">
        <f>IFERROR(__xludf.DUMMYFUNCTION("REGEXREPLACE(A399,""^Trường\s*"","""")"),"Tiểu học Lũng Niêm")</f>
        <v>Tiểu học Lũng Niêm</v>
      </c>
    </row>
    <row r="400">
      <c r="A400" s="1" t="s">
        <v>598</v>
      </c>
      <c r="B400" s="2" t="s">
        <v>600</v>
      </c>
      <c r="C400" s="2" t="s">
        <v>38</v>
      </c>
      <c r="E400" s="2" t="str">
        <f>IFERROR(__xludf.DUMMYFUNCTION("REGEXREPLACE(A400,""^Trường\s*"","""")"),"TH&amp;THCS Thành Sơn")</f>
        <v>TH&amp;THCS Thành Sơn</v>
      </c>
    </row>
    <row r="401">
      <c r="A401" s="1" t="s">
        <v>1812</v>
      </c>
      <c r="B401" s="2" t="s">
        <v>1813</v>
      </c>
      <c r="C401" s="2" t="s">
        <v>273</v>
      </c>
      <c r="E401" s="2" t="str">
        <f>IFERROR(__xludf.DUMMYFUNCTION("REGEXREPLACE(A401,""^Trường\s*"","""")"),"Tiểu học Pù Nhi")</f>
        <v>Tiểu học Pù Nhi</v>
      </c>
    </row>
    <row r="402">
      <c r="A402" s="1" t="s">
        <v>1815</v>
      </c>
      <c r="B402" s="2" t="s">
        <v>1818</v>
      </c>
      <c r="C402" s="2" t="s">
        <v>621</v>
      </c>
      <c r="E402" s="2" t="str">
        <f>IFERROR(__xludf.DUMMYFUNCTION("REGEXREPLACE(A402,""^Trường\s*"","""")"),"Tiểu học Sơn Lư")</f>
        <v>Tiểu học Sơn Lư</v>
      </c>
    </row>
    <row r="403">
      <c r="A403" s="1" t="s">
        <v>1820</v>
      </c>
      <c r="B403" s="2" t="s">
        <v>1822</v>
      </c>
      <c r="C403" s="2" t="s">
        <v>621</v>
      </c>
      <c r="E403" s="2" t="str">
        <f>IFERROR(__xludf.DUMMYFUNCTION("REGEXREPLACE(A403,""^Trường\s*"","""")"),"Tiểu học Trung Thượng")</f>
        <v>Tiểu học Trung Thượng</v>
      </c>
    </row>
    <row r="404">
      <c r="A404" s="1" t="s">
        <v>618</v>
      </c>
      <c r="B404" s="2" t="s">
        <v>620</v>
      </c>
      <c r="C404" s="2" t="s">
        <v>621</v>
      </c>
      <c r="E404" s="2" t="str">
        <f>IFERROR(__xludf.DUMMYFUNCTION("REGEXREPLACE(A404,""^Trường\s*"","""")"),"THamp;THCS Sơn Lư")</f>
        <v>THamp;THCS Sơn Lư</v>
      </c>
    </row>
    <row r="405">
      <c r="A405" s="1" t="s">
        <v>1826</v>
      </c>
      <c r="B405" s="2" t="s">
        <v>1827</v>
      </c>
      <c r="C405" s="2" t="s">
        <v>1049</v>
      </c>
      <c r="E405" s="2" t="str">
        <f>IFERROR(__xludf.DUMMYFUNCTION("REGEXREPLACE(A405,""^Trường\s*"","""")"),"Tiểu học Quảng Lưu")</f>
        <v>Tiểu học Quảng Lưu</v>
      </c>
    </row>
    <row r="406">
      <c r="A406" s="1" t="s">
        <v>1829</v>
      </c>
      <c r="B406" s="2" t="s">
        <v>1832</v>
      </c>
      <c r="C406" s="2" t="s">
        <v>1049</v>
      </c>
      <c r="E406" s="2" t="str">
        <f>IFERROR(__xludf.DUMMYFUNCTION("REGEXREPLACE(A406,""^Trường\s*"","""")"),"Tiểu học Quảng Lộc")</f>
        <v>Tiểu học Quảng Lộc</v>
      </c>
    </row>
    <row r="407">
      <c r="A407" s="1" t="s">
        <v>1833</v>
      </c>
      <c r="B407" s="2" t="s">
        <v>1835</v>
      </c>
      <c r="C407" s="2" t="s">
        <v>1049</v>
      </c>
      <c r="E407" s="2" t="str">
        <f>IFERROR(__xludf.DUMMYFUNCTION("REGEXREPLACE(A407,""^Trường\s*"","""")"),"Tiểu học Quảng Thái.")</f>
        <v>Tiểu học Quảng Thái.</v>
      </c>
    </row>
    <row r="408">
      <c r="A408" s="1" t="s">
        <v>1837</v>
      </c>
      <c r="B408" s="2" t="s">
        <v>1838</v>
      </c>
      <c r="C408" s="2" t="s">
        <v>1049</v>
      </c>
      <c r="E408" s="2" t="str">
        <f>IFERROR(__xludf.DUMMYFUNCTION("REGEXREPLACE(A408,""^Trường\s*"","""")"),"Tiểu học Quảng Bình")</f>
        <v>Tiểu học Quảng Bình</v>
      </c>
    </row>
    <row r="409">
      <c r="A409" s="1" t="s">
        <v>1841</v>
      </c>
      <c r="B409" s="2" t="s">
        <v>1842</v>
      </c>
      <c r="C409" s="2" t="s">
        <v>296</v>
      </c>
      <c r="E409" s="2" t="str">
        <f>IFERROR(__xludf.DUMMYFUNCTION("REGEXREPLACE(A409,""^Trường\s*"","""")"),"Tiểu học Quang Chiểu I")</f>
        <v>Tiểu học Quang Chiểu I</v>
      </c>
    </row>
    <row r="410">
      <c r="A410" s="1" t="s">
        <v>1845</v>
      </c>
      <c r="B410" s="2" t="s">
        <v>1847</v>
      </c>
      <c r="C410" s="2" t="s">
        <v>296</v>
      </c>
      <c r="E410" s="2" t="str">
        <f>IFERROR(__xludf.DUMMYFUNCTION("REGEXREPLACE(A410,""^Trường\s*"","""")"),"Tiểu học Quang Chiểu 2")</f>
        <v>Tiểu học Quang Chiểu 2</v>
      </c>
    </row>
    <row r="411">
      <c r="A411" s="1" t="s">
        <v>262</v>
      </c>
      <c r="B411" s="2" t="s">
        <v>1849</v>
      </c>
      <c r="C411" s="2" t="s">
        <v>1851</v>
      </c>
      <c r="E411" s="2" t="str">
        <f>IFERROR(__xludf.DUMMYFUNCTION("REGEXREPLACE(A411,""^Trường\s*"","""")"),"Tiểu học Nguyễn Bá Ngọc")</f>
        <v>Tiểu học Nguyễn Bá Ngọc</v>
      </c>
    </row>
    <row r="412">
      <c r="A412" s="1" t="s">
        <v>1852</v>
      </c>
      <c r="B412" s="2" t="s">
        <v>1853</v>
      </c>
      <c r="C412" s="2" t="s">
        <v>1851</v>
      </c>
      <c r="E412" s="2" t="str">
        <f>IFERROR(__xludf.DUMMYFUNCTION("REGEXREPLACE(A412,""^Trường\s*"","""")"),"Tiểu học Quảng Chính")</f>
        <v>Tiểu học Quảng Chính</v>
      </c>
    </row>
    <row r="413">
      <c r="A413" s="1" t="s">
        <v>1856</v>
      </c>
      <c r="B413" s="2" t="s">
        <v>1857</v>
      </c>
      <c r="C413" s="2" t="s">
        <v>1851</v>
      </c>
      <c r="E413" s="2" t="str">
        <f>IFERROR(__xludf.DUMMYFUNCTION("REGEXREPLACE(A413,""^Trường\s*"","""")"),"Tiểu học Quảng Khê")</f>
        <v>Tiểu học Quảng Khê</v>
      </c>
    </row>
    <row r="414">
      <c r="A414" s="1" t="s">
        <v>1860</v>
      </c>
      <c r="B414" s="2" t="s">
        <v>1861</v>
      </c>
      <c r="C414" s="2" t="s">
        <v>1851</v>
      </c>
      <c r="E414" s="2" t="str">
        <f>IFERROR(__xludf.DUMMYFUNCTION("REGEXREPLACE(A414,""^Trường\s*"","""")"),"Tiểu học Quảng Trường")</f>
        <v>Tiểu học Quảng Trường</v>
      </c>
    </row>
    <row r="415">
      <c r="A415" s="1" t="s">
        <v>1863</v>
      </c>
      <c r="B415" s="2" t="s">
        <v>1866</v>
      </c>
      <c r="C415" s="2" t="s">
        <v>1057</v>
      </c>
      <c r="E415" s="2" t="str">
        <f>IFERROR(__xludf.DUMMYFUNCTION("REGEXREPLACE(A415,""^Trường\s*"","""")"),"Tiểu học Quảng Văn")</f>
        <v>Tiểu học Quảng Văn</v>
      </c>
    </row>
    <row r="416">
      <c r="A416" s="1" t="s">
        <v>1867</v>
      </c>
      <c r="B416" s="2" t="s">
        <v>1869</v>
      </c>
      <c r="C416" s="2" t="s">
        <v>1057</v>
      </c>
      <c r="E416" s="2" t="str">
        <f>IFERROR(__xludf.DUMMYFUNCTION("REGEXREPLACE(A416,""^Trường\s*"","""")"),"Tiểu học Quảng Hợp")</f>
        <v>Tiểu học Quảng Hợp</v>
      </c>
    </row>
    <row r="417">
      <c r="A417" s="1" t="s">
        <v>1871</v>
      </c>
      <c r="B417" s="2" t="s">
        <v>1872</v>
      </c>
      <c r="C417" s="2" t="s">
        <v>1057</v>
      </c>
      <c r="E417" s="2" t="str">
        <f>IFERROR(__xludf.DUMMYFUNCTION("REGEXREPLACE(A417,""^Trường\s*"","""")"),"Tiểu học Quảng Phúc")</f>
        <v>Tiểu học Quảng Phúc</v>
      </c>
    </row>
    <row r="418">
      <c r="A418" s="1" t="s">
        <v>1876</v>
      </c>
      <c r="B418" s="2" t="s">
        <v>1877</v>
      </c>
      <c r="C418" s="2" t="s">
        <v>1057</v>
      </c>
      <c r="E418" s="2" t="str">
        <f>IFERROR(__xludf.DUMMYFUNCTION("REGEXREPLACE(A418,""^Trường\s*"","""")"),"Tiểu học Quảng Ngọc")</f>
        <v>Tiểu học Quảng Ngọc</v>
      </c>
    </row>
    <row r="419">
      <c r="A419" s="1" t="s">
        <v>1879</v>
      </c>
      <c r="B419" s="2" t="s">
        <v>1882</v>
      </c>
      <c r="C419" s="2" t="s">
        <v>1066</v>
      </c>
      <c r="E419" s="2" t="str">
        <f>IFERROR(__xludf.DUMMYFUNCTION("REGEXREPLACE(A419,""^Trường\s*"","""")"),"Tiểu học Quảng Hải")</f>
        <v>Tiểu học Quảng Hải</v>
      </c>
    </row>
    <row r="420">
      <c r="A420" s="1" t="s">
        <v>1883</v>
      </c>
      <c r="B420" s="2" t="s">
        <v>1884</v>
      </c>
      <c r="C420" s="2" t="s">
        <v>1066</v>
      </c>
      <c r="E420" s="2" t="str">
        <f>IFERROR(__xludf.DUMMYFUNCTION("REGEXREPLACE(A420,""^Trường\s*"","""")"),"Tiểu học Quảng Nhân")</f>
        <v>Tiểu học Quảng Nhân</v>
      </c>
    </row>
    <row r="421">
      <c r="A421" s="1" t="s">
        <v>1885</v>
      </c>
      <c r="B421" s="2" t="s">
        <v>1886</v>
      </c>
      <c r="C421" s="2" t="s">
        <v>1066</v>
      </c>
      <c r="E421" s="2" t="str">
        <f>IFERROR(__xludf.DUMMYFUNCTION("REGEXREPLACE(A421,""^Trường\s*"","""")"),"Tiểu học Quảng Ninh")</f>
        <v>Tiểu học Quảng Ninh</v>
      </c>
    </row>
    <row r="422">
      <c r="A422" s="1" t="s">
        <v>1887</v>
      </c>
      <c r="B422" s="2" t="s">
        <v>1889</v>
      </c>
      <c r="C422" s="2" t="s">
        <v>1891</v>
      </c>
      <c r="E422" s="2" t="str">
        <f>IFERROR(__xludf.DUMMYFUNCTION("REGEXREPLACE(A422,""^Trường\s*"","""")"),"Tiểu học Quảng Yên")</f>
        <v>Tiểu học Quảng Yên</v>
      </c>
    </row>
    <row r="423">
      <c r="A423" s="1" t="s">
        <v>1893</v>
      </c>
      <c r="B423" s="2" t="s">
        <v>1894</v>
      </c>
      <c r="C423" s="2" t="s">
        <v>1891</v>
      </c>
      <c r="E423" s="2" t="str">
        <f>IFERROR(__xludf.DUMMYFUNCTION("REGEXREPLACE(A423,""^Trường\s*"","""")"),"Tiểu học Quảng Trạch")</f>
        <v>Tiểu học Quảng Trạch</v>
      </c>
    </row>
    <row r="424">
      <c r="A424" s="1" t="s">
        <v>1897</v>
      </c>
      <c r="B424" s="2" t="s">
        <v>1898</v>
      </c>
      <c r="C424" s="2" t="s">
        <v>1891</v>
      </c>
      <c r="E424" s="2" t="str">
        <f>IFERROR(__xludf.DUMMYFUNCTION("REGEXREPLACE(A424,""^Trường\s*"","""")"),"Tiểu học Quảng Long")</f>
        <v>Tiểu học Quảng Long</v>
      </c>
    </row>
    <row r="425">
      <c r="A425" s="1" t="s">
        <v>1899</v>
      </c>
      <c r="B425" s="2" t="s">
        <v>1900</v>
      </c>
      <c r="C425" s="2" t="s">
        <v>1891</v>
      </c>
      <c r="E425" s="2" t="str">
        <f>IFERROR(__xludf.DUMMYFUNCTION("REGEXREPLACE(A425,""^Trường\s*"","""")"),"Tiểu học Quảng Hòa")</f>
        <v>Tiểu học Quảng Hòa</v>
      </c>
    </row>
    <row r="426">
      <c r="A426" s="1" t="s">
        <v>1901</v>
      </c>
      <c r="B426" s="2" t="s">
        <v>1902</v>
      </c>
      <c r="C426" s="2" t="s">
        <v>1493</v>
      </c>
      <c r="E426" s="2" t="str">
        <f>IFERROR(__xludf.DUMMYFUNCTION("REGEXREPLACE(A426,""^Trường\s*"","""")"),"Tiểu Học Quý Lộc")</f>
        <v>Tiểu Học Quý Lộc</v>
      </c>
    </row>
    <row r="427">
      <c r="A427" s="1" t="s">
        <v>1906</v>
      </c>
      <c r="B427" s="2" t="s">
        <v>1907</v>
      </c>
      <c r="C427" s="2" t="s">
        <v>1493</v>
      </c>
      <c r="E427" s="2" t="str">
        <f>IFERROR(__xludf.DUMMYFUNCTION("REGEXREPLACE(A427,""^Trường\s*"","""")"),"Tiểu Học Yên Thọ")</f>
        <v>Tiểu Học Yên Thọ</v>
      </c>
    </row>
    <row r="428">
      <c r="A428" s="1" t="s">
        <v>1909</v>
      </c>
      <c r="B428" s="2" t="s">
        <v>1911</v>
      </c>
      <c r="C428" s="2" t="s">
        <v>1493</v>
      </c>
      <c r="E428" s="2" t="str">
        <f>IFERROR(__xludf.DUMMYFUNCTION("REGEXREPLACE(A428,""^Trường\s*"","""")"),"Tiểu Học Yên Lâm")</f>
        <v>Tiểu Học Yên Lâm</v>
      </c>
    </row>
    <row r="429">
      <c r="A429" s="1" t="s">
        <v>1912</v>
      </c>
      <c r="B429" s="2" t="s">
        <v>1913</v>
      </c>
      <c r="C429" s="2" t="s">
        <v>516</v>
      </c>
      <c r="E429" s="2" t="str">
        <f>IFERROR(__xludf.DUMMYFUNCTION("REGEXREPLACE(A429,""^Trường\s*"","""")"),"Tiểu học Lương Nội")</f>
        <v>Tiểu học Lương Nội</v>
      </c>
    </row>
    <row r="430">
      <c r="A430" s="1" t="s">
        <v>1917</v>
      </c>
      <c r="B430" s="2" t="s">
        <v>1918</v>
      </c>
      <c r="C430" s="2" t="s">
        <v>516</v>
      </c>
      <c r="E430" s="2" t="str">
        <f>IFERROR(__xludf.DUMMYFUNCTION("REGEXREPLACE(A430,""^Trường\s*"","""")"),"Tiểu học Lương Ngoại")</f>
        <v>Tiểu học Lương Ngoại</v>
      </c>
    </row>
    <row r="431">
      <c r="A431" s="1" t="s">
        <v>1920</v>
      </c>
      <c r="B431" s="2" t="s">
        <v>1922</v>
      </c>
      <c r="C431" s="2" t="s">
        <v>516</v>
      </c>
      <c r="E431" s="2" t="str">
        <f>IFERROR(__xludf.DUMMYFUNCTION("REGEXREPLACE(A431,""^Trường\s*"","""")"),"Tiểu học Lương Trung")</f>
        <v>Tiểu học Lương Trung</v>
      </c>
    </row>
    <row r="432">
      <c r="A432" s="1" t="s">
        <v>1923</v>
      </c>
      <c r="B432" s="2" t="s">
        <v>1924</v>
      </c>
      <c r="C432" s="2" t="s">
        <v>1656</v>
      </c>
      <c r="E432" s="2" t="str">
        <f>IFERROR(__xludf.DUMMYFUNCTION("REGEXREPLACE(A432,""^Trường\s*"","""")"),"Tiểu học Thọ Lâm")</f>
        <v>Tiểu học Thọ Lâm</v>
      </c>
    </row>
    <row r="433">
      <c r="A433" s="1" t="s">
        <v>1927</v>
      </c>
      <c r="B433" s="2" t="s">
        <v>1928</v>
      </c>
      <c r="C433" s="2" t="s">
        <v>1656</v>
      </c>
      <c r="E433" s="2" t="str">
        <f>IFERROR(__xludf.DUMMYFUNCTION("REGEXREPLACE(A433,""^Trường\s*"","""")"),"Tiểu học Sao Vàng")</f>
        <v>Tiểu học Sao Vàng</v>
      </c>
    </row>
    <row r="434">
      <c r="A434" s="1" t="s">
        <v>1932</v>
      </c>
      <c r="B434" s="2" t="s">
        <v>1933</v>
      </c>
      <c r="C434" s="2" t="s">
        <v>1656</v>
      </c>
      <c r="E434" s="2" t="str">
        <f>IFERROR(__xludf.DUMMYFUNCTION("REGEXREPLACE(A434,""^Trường\s*"","""")"),"Tiểu học Xuân Sinh")</f>
        <v>Tiểu học Xuân Sinh</v>
      </c>
    </row>
    <row r="435">
      <c r="A435" s="1" t="s">
        <v>1935</v>
      </c>
      <c r="B435" s="2" t="s">
        <v>1937</v>
      </c>
      <c r="C435" s="2" t="s">
        <v>1656</v>
      </c>
      <c r="E435" s="2" t="str">
        <f>IFERROR(__xludf.DUMMYFUNCTION("REGEXREPLACE(A435,""^Trường\s*"","""")"),"Tiểu học Xuân Phú")</f>
        <v>Tiểu học Xuân Phú</v>
      </c>
    </row>
    <row r="436">
      <c r="A436" s="1" t="s">
        <v>1938</v>
      </c>
      <c r="B436" s="2" t="s">
        <v>1940</v>
      </c>
      <c r="C436" s="2" t="s">
        <v>684</v>
      </c>
      <c r="E436" s="2" t="str">
        <f>IFERROR(__xludf.DUMMYFUNCTION("REGEXREPLACE(A436,""^Trường\s*"","""")"),"Tiểu học Sơn Điện 1")</f>
        <v>Tiểu học Sơn Điện 1</v>
      </c>
    </row>
    <row r="437">
      <c r="A437" s="1" t="s">
        <v>1942</v>
      </c>
      <c r="B437" s="2" t="s">
        <v>1943</v>
      </c>
      <c r="C437" s="2" t="s">
        <v>684</v>
      </c>
      <c r="E437" s="2" t="str">
        <f>IFERROR(__xludf.DUMMYFUNCTION("REGEXREPLACE(A437,""^Trường\s*"","""")"),"Tiểu học Sơn Điện 2")</f>
        <v>Tiểu học Sơn Điện 2</v>
      </c>
    </row>
    <row r="438">
      <c r="A438" s="1" t="s">
        <v>1945</v>
      </c>
      <c r="B438" s="2" t="s">
        <v>1946</v>
      </c>
      <c r="C438" s="2" t="s">
        <v>693</v>
      </c>
      <c r="E438" s="2" t="str">
        <f>IFERROR(__xludf.DUMMYFUNCTION("REGEXREPLACE(A438,""^Trường\s*"","""")"),"Tiểu học Sơn Thủy")</f>
        <v>Tiểu học Sơn Thủy</v>
      </c>
    </row>
    <row r="439">
      <c r="A439" s="1" t="s">
        <v>1948</v>
      </c>
      <c r="B439" s="2" t="s">
        <v>1950</v>
      </c>
      <c r="C439" s="2" t="s">
        <v>282</v>
      </c>
      <c r="E439" s="2" t="str">
        <f>IFERROR(__xludf.DUMMYFUNCTION("REGEXREPLACE(A439,""^Trường\s*"","""")"),"Tiểu học Tam Chung")</f>
        <v>Tiểu học Tam Chung</v>
      </c>
    </row>
    <row r="440">
      <c r="A440" s="1" t="s">
        <v>1951</v>
      </c>
      <c r="B440" s="2" t="s">
        <v>1953</v>
      </c>
      <c r="C440" s="2" t="s">
        <v>661</v>
      </c>
      <c r="E440" s="2" t="str">
        <f>IFERROR(__xludf.DUMMYFUNCTION("REGEXREPLACE(A440,""^Trường\s*"","""")"),"Tiểu học Sơn Hà")</f>
        <v>Tiểu học Sơn Hà</v>
      </c>
    </row>
    <row r="441">
      <c r="A441" s="1" t="s">
        <v>1955</v>
      </c>
      <c r="B441" s="2" t="s">
        <v>1956</v>
      </c>
      <c r="C441" s="2" t="s">
        <v>661</v>
      </c>
      <c r="E441" s="2" t="str">
        <f>IFERROR(__xludf.DUMMYFUNCTION("REGEXREPLACE(A441,""^Trường\s*"","""")"),"Tiểu học Tam Lư")</f>
        <v>Tiểu học Tam Lư</v>
      </c>
    </row>
    <row r="442">
      <c r="A442" s="1" t="s">
        <v>1960</v>
      </c>
      <c r="B442" s="2" t="s">
        <v>1961</v>
      </c>
      <c r="C442" s="2" t="s">
        <v>675</v>
      </c>
      <c r="E442" s="2" t="str">
        <f>IFERROR(__xludf.DUMMYFUNCTION("REGEXREPLACE(A442,""^Trường\s*"","""")"),"Tiểu học Tam Thanh")</f>
        <v>Tiểu học Tam Thanh</v>
      </c>
    </row>
    <row r="443">
      <c r="A443" s="1" t="s">
        <v>1963</v>
      </c>
      <c r="B443" s="2" t="s">
        <v>1965</v>
      </c>
      <c r="C443" s="2" t="s">
        <v>1074</v>
      </c>
      <c r="E443" s="2" t="str">
        <f>IFERROR(__xludf.DUMMYFUNCTION("REGEXREPLACE(A443,""^Trường\s*"","""")"),"Tiểu học Vân Sơn")</f>
        <v>Tiểu học Vân Sơn</v>
      </c>
    </row>
    <row r="444">
      <c r="A444" s="1" t="s">
        <v>1966</v>
      </c>
      <c r="B444" s="2" t="s">
        <v>1968</v>
      </c>
      <c r="C444" s="2" t="s">
        <v>1074</v>
      </c>
      <c r="E444" s="2" t="str">
        <f>IFERROR(__xludf.DUMMYFUNCTION("REGEXREPLACE(A444,""^Trường\s*"","""")"),"Tiểu học Tân Ninh")</f>
        <v>Tiểu học Tân Ninh</v>
      </c>
    </row>
    <row r="445">
      <c r="A445" s="1" t="s">
        <v>1971</v>
      </c>
      <c r="B445" s="2" t="s">
        <v>1972</v>
      </c>
      <c r="C445" s="2" t="s">
        <v>1074</v>
      </c>
      <c r="E445" s="2" t="str">
        <f>IFERROR(__xludf.DUMMYFUNCTION("REGEXREPLACE(A445,""^Trường\s*"","""")"),"Tiểu học Thái Hòa")</f>
        <v>Tiểu học Thái Hòa</v>
      </c>
    </row>
    <row r="446">
      <c r="A446" s="1" t="s">
        <v>1975</v>
      </c>
      <c r="B446" s="2" t="s">
        <v>1976</v>
      </c>
      <c r="C446" s="2" t="s">
        <v>1809</v>
      </c>
      <c r="E446" s="2" t="str">
        <f>IFERROR(__xludf.DUMMYFUNCTION("REGEXREPLACE(A446,""^Trường\s*"","""")"),"Tiểu Học Luận Khê 1")</f>
        <v>Tiểu Học Luận Khê 1</v>
      </c>
    </row>
    <row r="447">
      <c r="A447" s="1" t="s">
        <v>1979</v>
      </c>
      <c r="B447" s="2" t="s">
        <v>1980</v>
      </c>
      <c r="C447" s="2" t="s">
        <v>1809</v>
      </c>
      <c r="E447" s="2" t="str">
        <f>IFERROR(__xludf.DUMMYFUNCTION("REGEXREPLACE(A447,""^Trường\s*"","""")"),"Tiểu học Tân Thành 1")</f>
        <v>Tiểu học Tân Thành 1</v>
      </c>
    </row>
    <row r="448">
      <c r="A448" s="1" t="s">
        <v>1982</v>
      </c>
      <c r="B448" s="2" t="s">
        <v>1984</v>
      </c>
      <c r="C448" s="2" t="s">
        <v>1809</v>
      </c>
      <c r="E448" s="2" t="str">
        <f>IFERROR(__xludf.DUMMYFUNCTION("REGEXREPLACE(A448,""^Trường\s*"","""")"),"Tiểu học Tân Thành 2")</f>
        <v>Tiểu học Tân Thành 2</v>
      </c>
    </row>
    <row r="449">
      <c r="A449" s="1" t="s">
        <v>1986</v>
      </c>
      <c r="B449" s="2" t="s">
        <v>1988</v>
      </c>
      <c r="C449" s="2" t="s">
        <v>1809</v>
      </c>
      <c r="E449" s="2" t="str">
        <f>IFERROR(__xludf.DUMMYFUNCTION("REGEXREPLACE(A449,""^Trường\s*"","""")"),"Tiểu Học Luận Khê 2")</f>
        <v>Tiểu Học Luận Khê 2</v>
      </c>
    </row>
    <row r="450">
      <c r="A450" s="1" t="s">
        <v>1990</v>
      </c>
      <c r="B450" s="2" t="s">
        <v>1991</v>
      </c>
      <c r="C450" s="2" t="s">
        <v>1993</v>
      </c>
      <c r="E450" s="2" t="str">
        <f>IFERROR(__xludf.DUMMYFUNCTION("REGEXREPLACE(A450,""^Trường\s*"","""")"),"tiểu học Nga Tiến")</f>
        <v>tiểu học Nga Tiến</v>
      </c>
    </row>
    <row r="451">
      <c r="A451" s="1" t="s">
        <v>1995</v>
      </c>
      <c r="B451" s="2" t="s">
        <v>1996</v>
      </c>
      <c r="C451" s="2" t="s">
        <v>1993</v>
      </c>
      <c r="E451" s="2" t="str">
        <f>IFERROR(__xludf.DUMMYFUNCTION("REGEXREPLACE(A451,""^Trường\s*"","""")"),"tiểu học Nga Thái")</f>
        <v>tiểu học Nga Thái</v>
      </c>
    </row>
    <row r="452">
      <c r="A452" s="1" t="s">
        <v>2002</v>
      </c>
      <c r="B452" s="2" t="s">
        <v>2004</v>
      </c>
      <c r="C452" s="2" t="s">
        <v>1993</v>
      </c>
      <c r="E452" s="2" t="str">
        <f>IFERROR(__xludf.DUMMYFUNCTION("REGEXREPLACE(A452,""^Trường\s*"","""")"),"tiểu học Nga Tân")</f>
        <v>tiểu học Nga Tân</v>
      </c>
    </row>
    <row r="453">
      <c r="A453" s="1" t="s">
        <v>2007</v>
      </c>
      <c r="B453" s="2" t="s">
        <v>2008</v>
      </c>
      <c r="C453" s="2" t="s">
        <v>1369</v>
      </c>
      <c r="E453" s="2" t="str">
        <f>IFERROR(__xludf.DUMMYFUNCTION("REGEXREPLACE(A453,""^Trường\s*"","""")"),"Tiểu học Vĩnh Yên")</f>
        <v>Tiểu học Vĩnh Yên</v>
      </c>
    </row>
    <row r="454">
      <c r="A454" s="1" t="s">
        <v>2011</v>
      </c>
      <c r="B454" s="2" t="s">
        <v>2012</v>
      </c>
      <c r="C454" s="2" t="s">
        <v>1369</v>
      </c>
      <c r="E454" s="2" t="str">
        <f>IFERROR(__xludf.DUMMYFUNCTION("REGEXREPLACE(A454,""^Trường\s*"","""")"),"tiểu học Vĩnh Long")</f>
        <v>tiểu học Vĩnh Long</v>
      </c>
    </row>
    <row r="455">
      <c r="A455" s="1" t="s">
        <v>2015</v>
      </c>
      <c r="B455" s="2" t="s">
        <v>2016</v>
      </c>
      <c r="C455" s="2" t="s">
        <v>1369</v>
      </c>
      <c r="E455" s="2" t="str">
        <f>IFERROR(__xludf.DUMMYFUNCTION("REGEXREPLACE(A455,""^Trường\s*"","""")"),"tiểu học Vĩnh Quang")</f>
        <v>tiểu học Vĩnh Quang</v>
      </c>
    </row>
    <row r="456">
      <c r="A456" s="1" t="s">
        <v>1463</v>
      </c>
      <c r="B456" s="2" t="s">
        <v>1465</v>
      </c>
      <c r="C456" s="2" t="s">
        <v>1369</v>
      </c>
      <c r="E456" s="2" t="str">
        <f>IFERROR(__xludf.DUMMYFUNCTION("REGEXREPLACE(A456,""^Trường\s*"","""")"),"THamp;THCS Vĩnh Tiến")</f>
        <v>THamp;THCS Vĩnh Tiến</v>
      </c>
    </row>
    <row r="457">
      <c r="A457" s="1" t="s">
        <v>2020</v>
      </c>
      <c r="B457" s="2" t="s">
        <v>2022</v>
      </c>
      <c r="C457" s="2" t="s">
        <v>1084</v>
      </c>
      <c r="E457" s="2" t="str">
        <f>IFERROR(__xludf.DUMMYFUNCTION("REGEXREPLACE(A457,""^Trường\s*"","""")"),"Tiểu học Thạch Cẩm 1")</f>
        <v>Tiểu học Thạch Cẩm 1</v>
      </c>
    </row>
    <row r="458">
      <c r="A458" s="1" t="s">
        <v>2024</v>
      </c>
      <c r="B458" s="2" t="s">
        <v>2025</v>
      </c>
      <c r="C458" s="2" t="s">
        <v>1084</v>
      </c>
      <c r="E458" s="2" t="str">
        <f>IFERROR(__xludf.DUMMYFUNCTION("REGEXREPLACE(A458,""^Trường\s*"","""")"),"Tiểu học Thạch Cẩm 2")</f>
        <v>Tiểu học Thạch Cẩm 2</v>
      </c>
    </row>
    <row r="459">
      <c r="A459" s="1" t="s">
        <v>2028</v>
      </c>
      <c r="B459" s="2" t="s">
        <v>2029</v>
      </c>
      <c r="C459" s="2" t="s">
        <v>1084</v>
      </c>
      <c r="E459" s="2" t="str">
        <f>IFERROR(__xludf.DUMMYFUNCTION("REGEXREPLACE(A459,""^Trường\s*"","""")"),"Tiểu học Thạch Sơn")</f>
        <v>Tiểu học Thạch Sơn</v>
      </c>
    </row>
    <row r="460">
      <c r="A460" s="1" t="s">
        <v>2033</v>
      </c>
      <c r="B460" s="2" t="s">
        <v>2034</v>
      </c>
      <c r="C460" s="2" t="s">
        <v>1084</v>
      </c>
      <c r="E460" s="2" t="str">
        <f>IFERROR(__xludf.DUMMYFUNCTION("REGEXREPLACE(A460,""^Trường\s*"","""")"),"Tiểu học Thạch Bình")</f>
        <v>Tiểu học Thạch Bình</v>
      </c>
    </row>
    <row r="461">
      <c r="A461" s="1" t="s">
        <v>2035</v>
      </c>
      <c r="B461" s="2" t="s">
        <v>2037</v>
      </c>
      <c r="C461" s="2" t="s">
        <v>1084</v>
      </c>
      <c r="E461" s="2" t="str">
        <f>IFERROR(__xludf.DUMMYFUNCTION("REGEXREPLACE(A461,""^Trường\s*"","""")"),"Tiểu học Thạch Đồng")</f>
        <v>Tiểu học Thạch Đồng</v>
      </c>
    </row>
    <row r="462">
      <c r="A462" s="1" t="s">
        <v>2041</v>
      </c>
      <c r="B462" s="2" t="s">
        <v>2042</v>
      </c>
      <c r="C462" s="2" t="s">
        <v>1084</v>
      </c>
      <c r="E462" s="2" t="str">
        <f>IFERROR(__xludf.DUMMYFUNCTION("REGEXREPLACE(A462,""^Trường\s*"","""")"),"Tiểu học Thạch Long")</f>
        <v>Tiểu học Thạch Long</v>
      </c>
    </row>
    <row r="463">
      <c r="A463" s="1" t="s">
        <v>1294</v>
      </c>
      <c r="B463" s="2" t="s">
        <v>1295</v>
      </c>
      <c r="C463" s="2" t="s">
        <v>1084</v>
      </c>
      <c r="E463" s="2" t="str">
        <f>IFERROR(__xludf.DUMMYFUNCTION("REGEXREPLACE(A463,""^Trường\s*"","""")"),"TH&amp;THCS Thạch Tân")</f>
        <v>TH&amp;THCS Thạch Tân</v>
      </c>
    </row>
    <row r="464">
      <c r="A464" s="1" t="s">
        <v>2046</v>
      </c>
      <c r="B464" s="2" t="s">
        <v>2048</v>
      </c>
      <c r="C464" s="2" t="s">
        <v>869</v>
      </c>
      <c r="E464" s="2" t="str">
        <f>IFERROR(__xludf.DUMMYFUNCTION("REGEXREPLACE(A464,""^Trường\s*"","""")"),"Tiểu Học Quang Trung")</f>
        <v>Tiểu Học Quang Trung</v>
      </c>
    </row>
    <row r="465">
      <c r="A465" s="1" t="s">
        <v>2049</v>
      </c>
      <c r="B465" s="2" t="s">
        <v>2051</v>
      </c>
      <c r="C465" s="2" t="s">
        <v>869</v>
      </c>
      <c r="E465" s="2" t="str">
        <f>IFERROR(__xludf.DUMMYFUNCTION("REGEXREPLACE(A465,""^Trường\s*"","""")"),"Tiểu học Thạch Lập 1")</f>
        <v>Tiểu học Thạch Lập 1</v>
      </c>
    </row>
    <row r="466">
      <c r="A466" s="1" t="s">
        <v>2053</v>
      </c>
      <c r="B466" s="2" t="s">
        <v>2055</v>
      </c>
      <c r="C466" s="2" t="s">
        <v>869</v>
      </c>
      <c r="E466" s="2" t="str">
        <f>IFERROR(__xludf.DUMMYFUNCTION("REGEXREPLACE(A466,""^Trường\s*"","""")"),"Tiểu học Thạch Lập 2")</f>
        <v>Tiểu học Thạch Lập 2</v>
      </c>
    </row>
    <row r="467">
      <c r="A467" s="1" t="s">
        <v>974</v>
      </c>
      <c r="B467" s="2" t="s">
        <v>976</v>
      </c>
      <c r="C467" s="2" t="s">
        <v>869</v>
      </c>
      <c r="E467" s="2" t="str">
        <f>IFERROR(__xludf.DUMMYFUNCTION("REGEXREPLACE(A467,""^Trường\s*"","""")"),"TH&amp;THCS Đồng Thịnh")</f>
        <v>TH&amp;THCS Đồng Thịnh</v>
      </c>
    </row>
    <row r="468">
      <c r="A468" s="1" t="s">
        <v>2060</v>
      </c>
      <c r="B468" s="2" t="s">
        <v>2061</v>
      </c>
      <c r="C468" s="2" t="s">
        <v>1098</v>
      </c>
      <c r="E468" s="2" t="str">
        <f>IFERROR(__xludf.DUMMYFUNCTION("REGEXREPLACE(A468,""^Trường\s*"","""")"),"Tiểu Học Thạch Lâm 1")</f>
        <v>Tiểu Học Thạch Lâm 1</v>
      </c>
    </row>
    <row r="469">
      <c r="A469" s="1" t="s">
        <v>2065</v>
      </c>
      <c r="B469" s="2" t="s">
        <v>2066</v>
      </c>
      <c r="C469" s="2" t="s">
        <v>1098</v>
      </c>
      <c r="E469" s="2" t="str">
        <f>IFERROR(__xludf.DUMMYFUNCTION("REGEXREPLACE(A469,""^Trường\s*"","""")"),"Tiểu Học Thạch Lâm 2")</f>
        <v>Tiểu Học Thạch Lâm 2</v>
      </c>
    </row>
    <row r="470">
      <c r="A470" s="1" t="s">
        <v>2068</v>
      </c>
      <c r="B470" s="2" t="s">
        <v>2070</v>
      </c>
      <c r="C470" s="2" t="s">
        <v>1098</v>
      </c>
      <c r="E470" s="2" t="str">
        <f>IFERROR(__xludf.DUMMYFUNCTION("REGEXREPLACE(A470,""^Trường\s*"","""")"),"Tiểu Học Thạch Tượng 1")</f>
        <v>Tiểu Học Thạch Tượng 1</v>
      </c>
    </row>
    <row r="471">
      <c r="A471" s="1" t="s">
        <v>2071</v>
      </c>
      <c r="B471" s="2" t="s">
        <v>2073</v>
      </c>
      <c r="C471" s="2" t="s">
        <v>1098</v>
      </c>
      <c r="E471" s="2" t="str">
        <f>IFERROR(__xludf.DUMMYFUNCTION("REGEXREPLACE(A471,""^Trường\s*"","""")"),"Tiểu học Thạch Tượng 2")</f>
        <v>Tiểu học Thạch Tượng 2</v>
      </c>
    </row>
    <row r="472">
      <c r="A472" s="1" t="s">
        <v>2076</v>
      </c>
      <c r="B472" s="2" t="s">
        <v>2077</v>
      </c>
      <c r="C472" s="2" t="s">
        <v>1098</v>
      </c>
      <c r="E472" s="2" t="str">
        <f>IFERROR(__xludf.DUMMYFUNCTION("REGEXREPLACE(A472,""^Trường\s*"","""")"),"Tiểu Học Thạch Quảng")</f>
        <v>Tiểu Học Thạch Quảng</v>
      </c>
    </row>
    <row r="473">
      <c r="A473" s="1" t="s">
        <v>2080</v>
      </c>
      <c r="B473" s="2" t="s">
        <v>2081</v>
      </c>
      <c r="C473" s="2" t="s">
        <v>1098</v>
      </c>
      <c r="E473" s="2" t="str">
        <f>IFERROR(__xludf.DUMMYFUNCTION("REGEXREPLACE(A473,""^Trường\s*"","""")"),"Tiểu học Thạch Quảng 2")</f>
        <v>Tiểu học Thạch Quảng 2</v>
      </c>
    </row>
    <row r="474">
      <c r="A474" s="1" t="s">
        <v>2083</v>
      </c>
      <c r="B474" s="2" t="s">
        <v>2085</v>
      </c>
      <c r="C474" s="2" t="s">
        <v>2086</v>
      </c>
      <c r="E474" s="2" t="str">
        <f>IFERROR(__xludf.DUMMYFUNCTION("REGEXREPLACE(A474,""^Trường\s*"","""")"),"Tiểu học Thăng Bình")</f>
        <v>Tiểu học Thăng Bình</v>
      </c>
    </row>
    <row r="475">
      <c r="A475" s="1" t="s">
        <v>2088</v>
      </c>
      <c r="B475" s="2" t="s">
        <v>2090</v>
      </c>
      <c r="C475" s="2" t="s">
        <v>2086</v>
      </c>
      <c r="E475" s="2" t="str">
        <f>IFERROR(__xludf.DUMMYFUNCTION("REGEXREPLACE(A475,""^Trường\s*"","""")"),"Tiểu học Thăng Thọ")</f>
        <v>Tiểu học Thăng Thọ</v>
      </c>
    </row>
    <row r="476">
      <c r="A476" s="1" t="s">
        <v>2092</v>
      </c>
      <c r="B476" s="2" t="s">
        <v>2093</v>
      </c>
      <c r="C476" s="2" t="s">
        <v>2086</v>
      </c>
      <c r="E476" s="2" t="str">
        <f>IFERROR(__xludf.DUMMYFUNCTION("REGEXREPLACE(A476,""^Trường\s*"","""")"),"Tiểu học Thăng Long 2")</f>
        <v>Tiểu học Thăng Long 2</v>
      </c>
    </row>
    <row r="477">
      <c r="A477" s="1" t="s">
        <v>2096</v>
      </c>
      <c r="B477" s="2" t="s">
        <v>2097</v>
      </c>
      <c r="C477" s="2" t="s">
        <v>2086</v>
      </c>
      <c r="E477" s="2" t="str">
        <f>IFERROR(__xludf.DUMMYFUNCTION("REGEXREPLACE(A477,""^Trường\s*"","""")"),"Tiểu học Thăng Long 1")</f>
        <v>Tiểu học Thăng Long 1</v>
      </c>
    </row>
    <row r="478">
      <c r="A478" s="1" t="s">
        <v>2101</v>
      </c>
      <c r="B478" s="2" t="s">
        <v>2102</v>
      </c>
      <c r="C478" s="2" t="s">
        <v>1776</v>
      </c>
      <c r="E478" s="2" t="str">
        <f>IFERROR(__xludf.DUMMYFUNCTION("REGEXREPLACE(A478,""^Trường\s*"","""")"),"Tiểu học Xuân Thắng")</f>
        <v>Tiểu học Xuân Thắng</v>
      </c>
    </row>
    <row r="479">
      <c r="A479" s="1" t="s">
        <v>2104</v>
      </c>
      <c r="B479" s="2" t="s">
        <v>2106</v>
      </c>
      <c r="C479" s="2" t="s">
        <v>1776</v>
      </c>
      <c r="E479" s="2" t="str">
        <f>IFERROR(__xludf.DUMMYFUNCTION("REGEXREPLACE(A479,""^Trường\s*"","""")"),"Tiểu Học Xuân Lộc")</f>
        <v>Tiểu Học Xuân Lộc</v>
      </c>
    </row>
    <row r="480">
      <c r="A480" s="1" t="s">
        <v>2108</v>
      </c>
      <c r="B480" s="2" t="s">
        <v>2111</v>
      </c>
      <c r="C480" s="2" t="s">
        <v>1107</v>
      </c>
      <c r="E480" s="2" t="str">
        <f>IFERROR(__xludf.DUMMYFUNCTION("REGEXREPLACE(A480,""^Trường\s*"","""")"),"Tiểu học Trung Thành")</f>
        <v>Tiểu học Trung Thành</v>
      </c>
    </row>
    <row r="481">
      <c r="A481" s="1" t="s">
        <v>2113</v>
      </c>
      <c r="B481" s="2" t="s">
        <v>2115</v>
      </c>
      <c r="C481" s="2" t="s">
        <v>1107</v>
      </c>
      <c r="E481" s="2" t="str">
        <f>IFERROR(__xludf.DUMMYFUNCTION("REGEXREPLACE(A481,""^Trường\s*"","""")"),"Tiểu học Tế Thắng")</f>
        <v>Tiểu học Tế Thắng</v>
      </c>
    </row>
    <row r="482">
      <c r="A482" s="1" t="s">
        <v>2117</v>
      </c>
      <c r="B482" s="2" t="s">
        <v>2118</v>
      </c>
      <c r="C482" s="2" t="s">
        <v>1107</v>
      </c>
      <c r="E482" s="2" t="str">
        <f>IFERROR(__xludf.DUMMYFUNCTION("REGEXREPLACE(A482,""^Trường\s*"","""")"),"Tiểu học Tế Lợi")</f>
        <v>Tiểu học Tế Lợi</v>
      </c>
    </row>
    <row r="483">
      <c r="A483" s="1" t="s">
        <v>2122</v>
      </c>
      <c r="B483" s="2" t="s">
        <v>2123</v>
      </c>
      <c r="C483" s="2" t="s">
        <v>1107</v>
      </c>
      <c r="E483" s="2" t="str">
        <f>IFERROR(__xludf.DUMMYFUNCTION("REGEXREPLACE(A483,""^Trường\s*"","""")"),"Tiểu học Tế Nông")</f>
        <v>Tiểu học Tế Nông</v>
      </c>
    </row>
    <row r="484">
      <c r="A484" s="1" t="s">
        <v>2125</v>
      </c>
      <c r="B484" s="2" t="s">
        <v>2127</v>
      </c>
      <c r="C484" s="2" t="s">
        <v>1116</v>
      </c>
      <c r="E484" s="2" t="str">
        <f>IFERROR(__xludf.DUMMYFUNCTION("REGEXREPLACE(A484,""^Trường\s*"","""")"),"Tiểu học Thanh Kỳ")</f>
        <v>Tiểu học Thanh Kỳ</v>
      </c>
    </row>
    <row r="485">
      <c r="A485" s="1" t="s">
        <v>2128</v>
      </c>
      <c r="B485" s="2" t="s">
        <v>2131</v>
      </c>
      <c r="C485" s="2" t="s">
        <v>1116</v>
      </c>
      <c r="E485" s="2" t="str">
        <f>IFERROR(__xludf.DUMMYFUNCTION("REGEXREPLACE(A485,""^Trường\s*"","""")"),"Tiểu học Thanh Tân 2")</f>
        <v>Tiểu học Thanh Tân 2</v>
      </c>
    </row>
    <row r="486">
      <c r="A486" s="1" t="s">
        <v>2133</v>
      </c>
      <c r="B486" s="2" t="s">
        <v>2134</v>
      </c>
      <c r="C486" s="2" t="s">
        <v>1116</v>
      </c>
      <c r="E486" s="2" t="str">
        <f>IFERROR(__xludf.DUMMYFUNCTION("REGEXREPLACE(A486,""^Trường\s*"","""")"),"Tiểu học Thanh Tân 1")</f>
        <v>Tiểu học Thanh Tân 1</v>
      </c>
    </row>
    <row r="487">
      <c r="A487" s="1" t="s">
        <v>2135</v>
      </c>
      <c r="B487" s="2" t="s">
        <v>2137</v>
      </c>
      <c r="C487" s="2" t="s">
        <v>2139</v>
      </c>
      <c r="E487" s="2" t="str">
        <f>IFERROR(__xludf.DUMMYFUNCTION("REGEXREPLACE(A487,""^Trường\s*"","""")"),"Tiểu Học Thanh Lâm")</f>
        <v>Tiểu Học Thanh Lâm</v>
      </c>
    </row>
    <row r="488">
      <c r="A488" s="1" t="s">
        <v>2140</v>
      </c>
      <c r="B488" s="2" t="s">
        <v>2141</v>
      </c>
      <c r="C488" s="2" t="s">
        <v>2139</v>
      </c>
      <c r="E488" s="2" t="str">
        <f>IFERROR(__xludf.DUMMYFUNCTION("REGEXREPLACE(A488,""^Trường\s*"","""")"),"Tiểu Học Thanh Phong")</f>
        <v>Tiểu Học Thanh Phong</v>
      </c>
    </row>
    <row r="489">
      <c r="A489" s="1" t="s">
        <v>2144</v>
      </c>
      <c r="B489" s="2" t="s">
        <v>2145</v>
      </c>
      <c r="C489" s="2" t="s">
        <v>2139</v>
      </c>
      <c r="E489" s="2" t="str">
        <f>IFERROR(__xludf.DUMMYFUNCTION("REGEXREPLACE(A489,""^Trường\s*"","""")"),"THamp;THCS Thanh Hòa")</f>
        <v>THamp;THCS Thanh Hòa</v>
      </c>
    </row>
    <row r="490">
      <c r="A490" s="1" t="s">
        <v>2147</v>
      </c>
      <c r="B490" s="2" t="s">
        <v>2150</v>
      </c>
      <c r="C490" s="2" t="s">
        <v>67</v>
      </c>
      <c r="E490" s="2" t="str">
        <f>IFERROR(__xludf.DUMMYFUNCTION("REGEXREPLACE(A490,""^Trường\s*"","""")"),"Tiểu Học Thanh Sơn")</f>
        <v>Tiểu Học Thanh Sơn</v>
      </c>
    </row>
    <row r="491">
      <c r="A491" s="1" t="s">
        <v>2151</v>
      </c>
      <c r="B491" s="2" t="s">
        <v>2153</v>
      </c>
      <c r="C491" s="2" t="s">
        <v>67</v>
      </c>
      <c r="E491" s="2" t="str">
        <f>IFERROR(__xludf.DUMMYFUNCTION("REGEXREPLACE(A491,""^Trường\s*"","""")"),"Tiểu học Thanh Quân")</f>
        <v>Tiểu học Thanh Quân</v>
      </c>
    </row>
    <row r="492">
      <c r="A492" s="1" t="s">
        <v>2155</v>
      </c>
      <c r="B492" s="2" t="s">
        <v>2156</v>
      </c>
      <c r="C492" s="2" t="s">
        <v>67</v>
      </c>
      <c r="E492" s="2" t="str">
        <f>IFERROR(__xludf.DUMMYFUNCTION("REGEXREPLACE(A492,""^Trường\s*"","""")"),"Tiểu học Thanh xuân")</f>
        <v>Tiểu học Thanh xuân</v>
      </c>
    </row>
    <row r="493">
      <c r="A493" s="1" t="s">
        <v>2157</v>
      </c>
      <c r="B493" s="2" t="s">
        <v>2158</v>
      </c>
      <c r="C493" s="2" t="s">
        <v>1256</v>
      </c>
      <c r="E493" s="2" t="str">
        <f>IFERROR(__xludf.DUMMYFUNCTION("REGEXREPLACE(A493,""^Trường\s*"","""")"),"Tiểu học Thành Yên")</f>
        <v>Tiểu học Thành Yên</v>
      </c>
    </row>
    <row r="494">
      <c r="A494" s="1" t="s">
        <v>2159</v>
      </c>
      <c r="B494" s="2" t="s">
        <v>2160</v>
      </c>
      <c r="C494" s="2" t="s">
        <v>1256</v>
      </c>
      <c r="E494" s="2" t="str">
        <f>IFERROR(__xludf.DUMMYFUNCTION("REGEXREPLACE(A494,""^Trường\s*"","""")"),"Tiểu học Thành Mỹ")</f>
        <v>Tiểu học Thành Mỹ</v>
      </c>
    </row>
    <row r="495">
      <c r="A495" s="1" t="s">
        <v>2162</v>
      </c>
      <c r="B495" s="2" t="s">
        <v>2164</v>
      </c>
      <c r="C495" s="2" t="s">
        <v>1256</v>
      </c>
      <c r="E495" s="2" t="str">
        <f>IFERROR(__xludf.DUMMYFUNCTION("REGEXREPLACE(A495,""^Trường\s*"","""")"),"Tiểu học Thành Vinh")</f>
        <v>Tiểu học Thành Vinh</v>
      </c>
    </row>
    <row r="496">
      <c r="A496" s="1" t="s">
        <v>2165</v>
      </c>
      <c r="B496" s="2" t="s">
        <v>2167</v>
      </c>
      <c r="C496" s="2" t="s">
        <v>1256</v>
      </c>
      <c r="E496" s="2" t="str">
        <f>IFERROR(__xludf.DUMMYFUNCTION("REGEXREPLACE(A496,""^Trường\s*"","""")"),"Tiểu học Thành Minh 1")</f>
        <v>Tiểu học Thành Minh 1</v>
      </c>
    </row>
    <row r="497">
      <c r="A497" s="1" t="s">
        <v>2169</v>
      </c>
      <c r="B497" s="2" t="s">
        <v>2170</v>
      </c>
      <c r="C497" s="2" t="s">
        <v>1256</v>
      </c>
      <c r="E497" s="2" t="str">
        <f>IFERROR(__xludf.DUMMYFUNCTION("REGEXREPLACE(A497,""^Trường\s*"","""")"),"Tiểu học Thành Minh 2")</f>
        <v>Tiểu học Thành Minh 2</v>
      </c>
    </row>
    <row r="498">
      <c r="A498" s="1" t="s">
        <v>2173</v>
      </c>
      <c r="B498" s="2" t="s">
        <v>2174</v>
      </c>
      <c r="C498" s="2" t="s">
        <v>378</v>
      </c>
      <c r="E498" s="2" t="str">
        <f>IFERROR(__xludf.DUMMYFUNCTION("REGEXREPLACE(A498,""^Trường\s*"","""")"),"Tiểu học Thiên Phủ")</f>
        <v>Tiểu học Thiên Phủ</v>
      </c>
    </row>
    <row r="499">
      <c r="A499" s="1" t="s">
        <v>2175</v>
      </c>
      <c r="B499" s="2" t="s">
        <v>2176</v>
      </c>
      <c r="C499" s="2" t="s">
        <v>378</v>
      </c>
      <c r="E499" s="2" t="str">
        <f>IFERROR(__xludf.DUMMYFUNCTION("REGEXREPLACE(A499,""^Trường\s*"","""")"),"Tiểu học Nam Động")</f>
        <v>Tiểu học Nam Động</v>
      </c>
    </row>
    <row r="500">
      <c r="A500" s="1" t="s">
        <v>2177</v>
      </c>
      <c r="B500" s="2" t="s">
        <v>2179</v>
      </c>
      <c r="C500" s="2" t="s">
        <v>499</v>
      </c>
      <c r="E500" s="2" t="str">
        <f>IFERROR(__xludf.DUMMYFUNCTION("REGEXREPLACE(A500,""^Trường\s*"","""")"),"Tiểu học Thiết Kế")</f>
        <v>Tiểu học Thiết Kế</v>
      </c>
    </row>
    <row r="501">
      <c r="A501" s="1" t="s">
        <v>2181</v>
      </c>
      <c r="B501" s="2" t="s">
        <v>2182</v>
      </c>
      <c r="C501" s="2" t="s">
        <v>499</v>
      </c>
      <c r="E501" s="2" t="str">
        <f>IFERROR(__xludf.DUMMYFUNCTION("REGEXREPLACE(A501,""^Trường\s*"","""")"),"Tiểu học Thiết Ống")</f>
        <v>Tiểu học Thiết Ống</v>
      </c>
    </row>
    <row r="502">
      <c r="A502" s="1" t="s">
        <v>4</v>
      </c>
      <c r="B502" s="2" t="s">
        <v>5</v>
      </c>
      <c r="C502" s="2" t="s">
        <v>7</v>
      </c>
      <c r="E502" s="2" t="str">
        <f>IFERROR(__xludf.DUMMYFUNCTION("REGEXREPLACE(A502,""^Trường\s*"","""")"),"Tiểu học, THCS&amp;THPT Nobel School V")</f>
        <v>Tiểu học, THCS&amp;THPT Nobel School V</v>
      </c>
    </row>
    <row r="503">
      <c r="A503" s="1" t="s">
        <v>2187</v>
      </c>
      <c r="B503" s="2" t="s">
        <v>2188</v>
      </c>
      <c r="C503" s="2" t="s">
        <v>7</v>
      </c>
      <c r="E503" s="2" t="str">
        <f>IFERROR(__xludf.DUMMYFUNCTION("REGEXREPLACE(A503,""^Trường\s*"","""")"),"Tiểu học Thiệu Công")</f>
        <v>Tiểu học Thiệu Công</v>
      </c>
    </row>
    <row r="504">
      <c r="A504" s="1" t="s">
        <v>2189</v>
      </c>
      <c r="B504" s="2" t="s">
        <v>2190</v>
      </c>
      <c r="C504" s="2" t="s">
        <v>7</v>
      </c>
      <c r="E504" s="2" t="str">
        <f>IFERROR(__xludf.DUMMYFUNCTION("REGEXREPLACE(A504,""^Trường\s*"","""")"),"Tiểu học Thiệu Phú")</f>
        <v>Tiểu học Thiệu Phú</v>
      </c>
    </row>
    <row r="505">
      <c r="A505" s="1" t="s">
        <v>2191</v>
      </c>
      <c r="B505" s="2" t="s">
        <v>2192</v>
      </c>
      <c r="C505" s="2" t="s">
        <v>7</v>
      </c>
      <c r="E505" s="2" t="str">
        <f>IFERROR(__xludf.DUMMYFUNCTION("REGEXREPLACE(A505,""^Trường\s*"","""")"),"Tiểu học Thiệu Phúc")</f>
        <v>Tiểu học Thiệu Phúc</v>
      </c>
    </row>
    <row r="506">
      <c r="A506" s="1" t="s">
        <v>2195</v>
      </c>
      <c r="B506" s="2" t="s">
        <v>2196</v>
      </c>
      <c r="C506" s="2" t="s">
        <v>7</v>
      </c>
      <c r="E506" s="2" t="str">
        <f>IFERROR(__xludf.DUMMYFUNCTION("REGEXREPLACE(A506,""^Trường\s*"","""")"),"Tiểu học Vạn Hà")</f>
        <v>Tiểu học Vạn Hà</v>
      </c>
    </row>
    <row r="507">
      <c r="A507" s="1" t="s">
        <v>2199</v>
      </c>
      <c r="B507" s="2" t="s">
        <v>2200</v>
      </c>
      <c r="C507" s="2" t="s">
        <v>7</v>
      </c>
      <c r="E507" s="2" t="str">
        <f>IFERROR(__xludf.DUMMYFUNCTION("REGEXREPLACE(A507,""^Trường\s*"","""")"),"Tiểu học Thiệu Nguyên")</f>
        <v>Tiểu học Thiệu Nguyên</v>
      </c>
    </row>
    <row r="508">
      <c r="A508" s="1" t="s">
        <v>2203</v>
      </c>
      <c r="B508" s="2" t="s">
        <v>2204</v>
      </c>
      <c r="C508" s="2" t="s">
        <v>7</v>
      </c>
      <c r="E508" s="2" t="str">
        <f>IFERROR(__xludf.DUMMYFUNCTION("REGEXREPLACE(A508,""^Trường\s*"","""")"),"Tiểu học Thiệu Long")</f>
        <v>Tiểu học Thiệu Long</v>
      </c>
    </row>
    <row r="509">
      <c r="A509" s="1" t="s">
        <v>2205</v>
      </c>
      <c r="B509" s="2" t="s">
        <v>2206</v>
      </c>
      <c r="C509" s="2" t="s">
        <v>1181</v>
      </c>
      <c r="E509" s="2" t="str">
        <f>IFERROR(__xludf.DUMMYFUNCTION("REGEXREPLACE(A509,""^Trường\s*"","""")"),"Tiểu học Thiệu Duy")</f>
        <v>Tiểu học Thiệu Duy</v>
      </c>
    </row>
    <row r="510">
      <c r="A510" s="1" t="s">
        <v>2207</v>
      </c>
      <c r="B510" s="2" t="s">
        <v>2209</v>
      </c>
      <c r="C510" s="2" t="s">
        <v>1181</v>
      </c>
      <c r="E510" s="2" t="str">
        <f>IFERROR(__xludf.DUMMYFUNCTION("REGEXREPLACE(A510,""^Trường\s*"","""")"),"Tiểu học Thiệu Hợp")</f>
        <v>Tiểu học Thiệu Hợp</v>
      </c>
    </row>
    <row r="511">
      <c r="A511" s="1" t="s">
        <v>2211</v>
      </c>
      <c r="B511" s="2" t="s">
        <v>2212</v>
      </c>
      <c r="C511" s="2" t="s">
        <v>1181</v>
      </c>
      <c r="E511" s="2" t="str">
        <f>IFERROR(__xludf.DUMMYFUNCTION("REGEXREPLACE(A511,""^Trường\s*"","""")"),"Tiểu học Thiệu Quang")</f>
        <v>Tiểu học Thiệu Quang</v>
      </c>
    </row>
    <row r="512">
      <c r="A512" s="1" t="s">
        <v>2213</v>
      </c>
      <c r="B512" s="2" t="s">
        <v>2214</v>
      </c>
      <c r="C512" s="2" t="s">
        <v>1181</v>
      </c>
      <c r="E512" s="2" t="str">
        <f>IFERROR(__xludf.DUMMYFUNCTION("REGEXREPLACE(A512,""^Trường\s*"","""")"),"Tiểu học Thiệu Giang")</f>
        <v>Tiểu học Thiệu Giang</v>
      </c>
    </row>
    <row r="513">
      <c r="A513" s="1" t="s">
        <v>2171</v>
      </c>
      <c r="B513" s="2" t="s">
        <v>2172</v>
      </c>
      <c r="C513" s="2" t="s">
        <v>1181</v>
      </c>
      <c r="E513" s="2" t="str">
        <f>IFERROR(__xludf.DUMMYFUNCTION("REGEXREPLACE(A513,""^Trường\s*"","""")"),"TH&amp;THCS Thiệu Thịnh")</f>
        <v>TH&amp;THCS Thiệu Thịnh</v>
      </c>
    </row>
    <row r="514">
      <c r="A514" s="1" t="s">
        <v>2218</v>
      </c>
      <c r="B514" s="2" t="s">
        <v>2220</v>
      </c>
      <c r="C514" s="2" t="s">
        <v>2039</v>
      </c>
      <c r="E514" s="2" t="str">
        <f>IFERROR(__xludf.DUMMYFUNCTION("REGEXREPLACE(A514,""^Trường\s*"","""")"),"Tiểu học Thiệu Ngọc")</f>
        <v>Tiểu học Thiệu Ngọc</v>
      </c>
    </row>
    <row r="515">
      <c r="A515" s="1" t="s">
        <v>2221</v>
      </c>
      <c r="B515" s="2" t="s">
        <v>2223</v>
      </c>
      <c r="C515" s="2" t="s">
        <v>2039</v>
      </c>
      <c r="E515" s="2" t="str">
        <f>IFERROR(__xludf.DUMMYFUNCTION("REGEXREPLACE(A515,""^Trường\s*"","""")"),"Tiểu học Thiệu Vũ")</f>
        <v>Tiểu học Thiệu Vũ</v>
      </c>
    </row>
    <row r="516">
      <c r="A516" s="1" t="s">
        <v>2225</v>
      </c>
      <c r="B516" s="2" t="s">
        <v>2226</v>
      </c>
      <c r="C516" s="2" t="s">
        <v>2039</v>
      </c>
      <c r="E516" s="2" t="str">
        <f>IFERROR(__xludf.DUMMYFUNCTION("REGEXREPLACE(A516,""^Trường\s*"","""")"),"Tiểu học Thiệu Tiến")</f>
        <v>Tiểu học Thiệu Tiến</v>
      </c>
    </row>
    <row r="517">
      <c r="A517" s="1" t="s">
        <v>2228</v>
      </c>
      <c r="B517" s="2" t="s">
        <v>2229</v>
      </c>
      <c r="C517" s="2" t="s">
        <v>2039</v>
      </c>
      <c r="E517" s="2" t="str">
        <f>IFERROR(__xludf.DUMMYFUNCTION("REGEXREPLACE(A517,""^Trường\s*"","""")"),"Tiểu học Thiệu Thành")</f>
        <v>Tiểu học Thiệu Thành</v>
      </c>
    </row>
    <row r="518">
      <c r="A518" s="1" t="s">
        <v>2231</v>
      </c>
      <c r="B518" s="2" t="s">
        <v>2233</v>
      </c>
      <c r="C518" s="2" t="s">
        <v>2107</v>
      </c>
      <c r="E518" s="2" t="str">
        <f>IFERROR(__xludf.DUMMYFUNCTION("REGEXREPLACE(A518,""^Trường\s*"","""")"),"Tiểu học Thiệu Toán")</f>
        <v>Tiểu học Thiệu Toán</v>
      </c>
    </row>
    <row r="519">
      <c r="A519" s="1" t="s">
        <v>2234</v>
      </c>
      <c r="B519" s="2" t="s">
        <v>2236</v>
      </c>
      <c r="C519" s="2" t="s">
        <v>2107</v>
      </c>
      <c r="E519" s="2" t="str">
        <f>IFERROR(__xludf.DUMMYFUNCTION("REGEXREPLACE(A519,""^Trường\s*"","""")"),"Tiểu học Thiệu Chính")</f>
        <v>Tiểu học Thiệu Chính</v>
      </c>
    </row>
    <row r="520">
      <c r="A520" s="1" t="s">
        <v>2238</v>
      </c>
      <c r="B520" s="2" t="s">
        <v>2239</v>
      </c>
      <c r="C520" s="2" t="s">
        <v>2107</v>
      </c>
      <c r="E520" s="2" t="str">
        <f>IFERROR(__xludf.DUMMYFUNCTION("REGEXREPLACE(A520,""^Trường\s*"","""")"),"Tiểu học Thiệu Hòa")</f>
        <v>Tiểu học Thiệu Hòa</v>
      </c>
    </row>
    <row r="521">
      <c r="A521" s="1" t="s">
        <v>2240</v>
      </c>
      <c r="B521" s="2" t="s">
        <v>2241</v>
      </c>
      <c r="C521" s="2" t="s">
        <v>2107</v>
      </c>
      <c r="E521" s="2" t="str">
        <f>IFERROR(__xludf.DUMMYFUNCTION("REGEXREPLACE(A521,""^Trường\s*"","""")"),"Tiểu học Thiệu Tâm")</f>
        <v>Tiểu học Thiệu Tâm</v>
      </c>
    </row>
    <row r="522">
      <c r="A522" s="1" t="s">
        <v>2119</v>
      </c>
      <c r="B522" s="2" t="s">
        <v>2121</v>
      </c>
      <c r="C522" s="2" t="s">
        <v>2107</v>
      </c>
      <c r="E522" s="2" t="str">
        <f>IFERROR(__xludf.DUMMYFUNCTION("REGEXREPLACE(A522,""^Trường\s*"","""")"),"THamp;THCS Thiệu Minh")</f>
        <v>THamp;THCS Thiệu Minh</v>
      </c>
    </row>
    <row r="523">
      <c r="A523" s="1" t="s">
        <v>2244</v>
      </c>
      <c r="B523" s="2" t="s">
        <v>2245</v>
      </c>
      <c r="C523" s="2" t="s">
        <v>1190</v>
      </c>
      <c r="E523" s="2" t="str">
        <f>IFERROR(__xludf.DUMMYFUNCTION("REGEXREPLACE(A523,""^Trường\s*"","""")"),"Tiểu học Thiệu Lý")</f>
        <v>Tiểu học Thiệu Lý</v>
      </c>
    </row>
    <row r="524">
      <c r="A524" s="1" t="s">
        <v>2246</v>
      </c>
      <c r="B524" s="2" t="s">
        <v>2247</v>
      </c>
      <c r="C524" s="2" t="s">
        <v>1190</v>
      </c>
      <c r="E524" s="2" t="str">
        <f>IFERROR(__xludf.DUMMYFUNCTION("REGEXREPLACE(A524,""^Trường\s*"","""")"),"Tiểu học Thiệu Viên")</f>
        <v>Tiểu học Thiệu Viên</v>
      </c>
    </row>
    <row r="525">
      <c r="A525" s="1" t="s">
        <v>2250</v>
      </c>
      <c r="B525" s="2" t="s">
        <v>2251</v>
      </c>
      <c r="C525" s="2" t="s">
        <v>1190</v>
      </c>
      <c r="E525" s="2" t="str">
        <f>IFERROR(__xludf.DUMMYFUNCTION("REGEXREPLACE(A525,""^Trường\s*"","""")"),"Tiểu học Thiệu Trung")</f>
        <v>Tiểu học Thiệu Trung</v>
      </c>
    </row>
    <row r="526">
      <c r="A526" s="1" t="s">
        <v>2252</v>
      </c>
      <c r="B526" s="2" t="s">
        <v>2253</v>
      </c>
      <c r="C526" s="2" t="s">
        <v>1190</v>
      </c>
      <c r="E526" s="2" t="str">
        <f>IFERROR(__xludf.DUMMYFUNCTION("REGEXREPLACE(A526,""^Trường\s*"","""")"),"Tiểu học Thiệu Đô")</f>
        <v>Tiểu học Thiệu Đô</v>
      </c>
    </row>
    <row r="527">
      <c r="A527" s="1" t="s">
        <v>2142</v>
      </c>
      <c r="B527" s="2" t="s">
        <v>2143</v>
      </c>
      <c r="C527" s="2" t="s">
        <v>1190</v>
      </c>
      <c r="E527" s="2" t="str">
        <f>IFERROR(__xludf.DUMMYFUNCTION("REGEXREPLACE(A527,""^Trường\s*"","""")"),"TH&amp;THCS Thiệu Vận")</f>
        <v>TH&amp;THCS Thiệu Vận</v>
      </c>
    </row>
    <row r="528">
      <c r="A528" s="1" t="s">
        <v>2254</v>
      </c>
      <c r="B528" s="2" t="s">
        <v>2255</v>
      </c>
      <c r="C528" s="2" t="s">
        <v>2006</v>
      </c>
      <c r="E528" s="2" t="str">
        <f>IFERROR(__xludf.DUMMYFUNCTION("REGEXREPLACE(A528,""^Trường\s*"","""")"),"Tiểu học Thọ Sơn")</f>
        <v>Tiểu học Thọ Sơn</v>
      </c>
    </row>
    <row r="529">
      <c r="A529" s="1" t="s">
        <v>2258</v>
      </c>
      <c r="B529" s="2" t="s">
        <v>2259</v>
      </c>
      <c r="C529" s="2" t="s">
        <v>2006</v>
      </c>
      <c r="E529" s="2" t="str">
        <f>IFERROR(__xludf.DUMMYFUNCTION("REGEXREPLACE(A529,""^Trường\s*"","""")"),"Tiểu học Thọ Bình")</f>
        <v>Tiểu học Thọ Bình</v>
      </c>
    </row>
    <row r="530">
      <c r="A530" s="1" t="s">
        <v>2026</v>
      </c>
      <c r="B530" s="2" t="s">
        <v>2027</v>
      </c>
      <c r="C530" s="2" t="s">
        <v>2006</v>
      </c>
      <c r="E530" s="2" t="str">
        <f>IFERROR(__xludf.DUMMYFUNCTION("REGEXREPLACE(A530,""^Trường\s*"","""")"),"TH&amp;THCS Bình Sơn")</f>
        <v>TH&amp;THCS Bình Sơn</v>
      </c>
    </row>
    <row r="531">
      <c r="A531" s="1" t="s">
        <v>2261</v>
      </c>
      <c r="B531" s="2" t="s">
        <v>2263</v>
      </c>
      <c r="C531" s="2" t="s">
        <v>1199</v>
      </c>
      <c r="E531" s="2" t="str">
        <f>IFERROR(__xludf.DUMMYFUNCTION("REGEXREPLACE(A531,""^Trường\s*"","""")"),"Tiểu học Xuân Thiên")</f>
        <v>Tiểu học Xuân Thiên</v>
      </c>
    </row>
    <row r="532">
      <c r="A532" s="1" t="s">
        <v>2264</v>
      </c>
      <c r="B532" s="2" t="s">
        <v>2266</v>
      </c>
      <c r="C532" s="2" t="s">
        <v>1199</v>
      </c>
      <c r="E532" s="2" t="str">
        <f>IFERROR(__xludf.DUMMYFUNCTION("REGEXREPLACE(A532,""^Trường\s*"","""")"),"Tiểu Học Thuận Minh")</f>
        <v>Tiểu Học Thuận Minh</v>
      </c>
    </row>
    <row r="533">
      <c r="A533" s="1" t="s">
        <v>2268</v>
      </c>
      <c r="B533" s="2" t="s">
        <v>2269</v>
      </c>
      <c r="C533" s="2" t="s">
        <v>1199</v>
      </c>
      <c r="E533" s="2" t="str">
        <f>IFERROR(__xludf.DUMMYFUNCTION("REGEXREPLACE(A533,""^Trường\s*"","""")"),"Tiểu học Thọ Lập")</f>
        <v>Tiểu học Thọ Lập</v>
      </c>
    </row>
    <row r="534">
      <c r="A534" s="1" t="s">
        <v>2272</v>
      </c>
      <c r="B534" s="2" t="s">
        <v>2273</v>
      </c>
      <c r="C534" s="2" t="s">
        <v>1640</v>
      </c>
      <c r="E534" s="2" t="str">
        <f>IFERROR(__xludf.DUMMYFUNCTION("REGEXREPLACE(A534,""^Trường\s*"","""")"),"Tiểu học Xuân Phong")</f>
        <v>Tiểu học Xuân Phong</v>
      </c>
    </row>
    <row r="535">
      <c r="A535" s="1" t="s">
        <v>2275</v>
      </c>
      <c r="B535" s="2" t="s">
        <v>2277</v>
      </c>
      <c r="C535" s="2" t="s">
        <v>1640</v>
      </c>
      <c r="E535" s="2" t="str">
        <f>IFERROR(__xludf.DUMMYFUNCTION("REGEXREPLACE(A535,""^Trường\s*"","""")"),"Tiểu học Bắc Lương")</f>
        <v>Tiểu học Bắc Lương</v>
      </c>
    </row>
    <row r="536">
      <c r="A536" s="1" t="s">
        <v>2278</v>
      </c>
      <c r="B536" s="2" t="s">
        <v>2280</v>
      </c>
      <c r="C536" s="2" t="s">
        <v>1640</v>
      </c>
      <c r="E536" s="2" t="str">
        <f>IFERROR(__xludf.DUMMYFUNCTION("REGEXREPLACE(A536,""^Trường\s*"","""")"),"Tiểu học Nam Giang")</f>
        <v>Tiểu học Nam Giang</v>
      </c>
    </row>
    <row r="537">
      <c r="A537" s="1" t="s">
        <v>2282</v>
      </c>
      <c r="B537" s="2" t="s">
        <v>2283</v>
      </c>
      <c r="C537" s="2" t="s">
        <v>1640</v>
      </c>
      <c r="E537" s="2" t="str">
        <f>IFERROR(__xludf.DUMMYFUNCTION("REGEXREPLACE(A537,""^Trường\s*"","""")"),"Tiểu học Tây Hồ")</f>
        <v>Tiểu học Tây Hồ</v>
      </c>
    </row>
    <row r="538">
      <c r="A538" s="1" t="s">
        <v>2287</v>
      </c>
      <c r="B538" s="2" t="s">
        <v>2288</v>
      </c>
      <c r="C538" s="2" t="s">
        <v>1640</v>
      </c>
      <c r="E538" s="2" t="str">
        <f>IFERROR(__xludf.DUMMYFUNCTION("REGEXREPLACE(A538,""^Trường\s*"","""")"),"Tiểu học Thọ Lộc")</f>
        <v>Tiểu học Thọ Lộc</v>
      </c>
    </row>
    <row r="539">
      <c r="A539" s="1" t="s">
        <v>2290</v>
      </c>
      <c r="B539" s="2" t="s">
        <v>2292</v>
      </c>
      <c r="C539" s="2" t="s">
        <v>1875</v>
      </c>
      <c r="E539" s="2" t="str">
        <f>IFERROR(__xludf.DUMMYFUNCTION("REGEXREPLACE(A539,""^Trường\s*"","""")"),"Tiểu học Thọ Cường")</f>
        <v>Tiểu học Thọ Cường</v>
      </c>
    </row>
    <row r="540">
      <c r="A540" s="1" t="s">
        <v>2293</v>
      </c>
      <c r="B540" s="2" t="s">
        <v>2295</v>
      </c>
      <c r="C540" s="2" t="s">
        <v>1875</v>
      </c>
      <c r="E540" s="2" t="str">
        <f>IFERROR(__xludf.DUMMYFUNCTION("REGEXREPLACE(A540,""^Trường\s*"","""")"),"Tiểu học Thọ Tiến")</f>
        <v>Tiểu học Thọ Tiến</v>
      </c>
    </row>
    <row r="541">
      <c r="A541" s="1" t="s">
        <v>2297</v>
      </c>
      <c r="B541" s="2" t="s">
        <v>2298</v>
      </c>
      <c r="C541" s="2" t="s">
        <v>1875</v>
      </c>
      <c r="E541" s="2" t="str">
        <f>IFERROR(__xludf.DUMMYFUNCTION("REGEXREPLACE(A541,""^Trường\s*"","""")"),"Tiểu học Xuân Thọ")</f>
        <v>Tiểu học Xuân Thọ</v>
      </c>
    </row>
    <row r="542">
      <c r="A542" s="1" t="s">
        <v>2301</v>
      </c>
      <c r="B542" s="2" t="s">
        <v>2302</v>
      </c>
      <c r="C542" s="2" t="s">
        <v>1875</v>
      </c>
      <c r="E542" s="2" t="str">
        <f>IFERROR(__xludf.DUMMYFUNCTION("REGEXREPLACE(A542,""^Trường\s*"","""")"),"Tiểu học Thọ Ngọc")</f>
        <v>Tiểu học Thọ Ngọc</v>
      </c>
    </row>
    <row r="543">
      <c r="A543" s="1" t="s">
        <v>2303</v>
      </c>
      <c r="B543" s="2" t="s">
        <v>2305</v>
      </c>
      <c r="C543" s="2" t="s">
        <v>1208</v>
      </c>
      <c r="E543" s="2" t="str">
        <f>IFERROR(__xludf.DUMMYFUNCTION("REGEXREPLACE(A543,""^Trường\s*"","""")"),"Tiểu học Thọ Tân")</f>
        <v>Tiểu học Thọ Tân</v>
      </c>
    </row>
    <row r="544">
      <c r="A544" s="1" t="s">
        <v>2307</v>
      </c>
      <c r="B544" s="2" t="s">
        <v>2309</v>
      </c>
      <c r="C544" s="2" t="s">
        <v>1208</v>
      </c>
      <c r="E544" s="2" t="str">
        <f>IFERROR(__xludf.DUMMYFUNCTION("REGEXREPLACE(A544,""^Trường\s*"","""")"),"Tiểu học Thọ Vực")</f>
        <v>Tiểu học Thọ Vực</v>
      </c>
    </row>
    <row r="545">
      <c r="A545" s="1" t="s">
        <v>2314</v>
      </c>
      <c r="B545" s="2" t="s">
        <v>2316</v>
      </c>
      <c r="C545" s="2" t="s">
        <v>1208</v>
      </c>
      <c r="E545" s="2" t="str">
        <f>IFERROR(__xludf.DUMMYFUNCTION("REGEXREPLACE(A545,""^Trường\s*"","""")"),"Tiểu học Thọ Dân")</f>
        <v>Tiểu học Thọ Dân</v>
      </c>
    </row>
    <row r="546">
      <c r="A546" s="1" t="s">
        <v>2317</v>
      </c>
      <c r="B546" s="2" t="s">
        <v>2319</v>
      </c>
      <c r="C546" s="2" t="s">
        <v>1208</v>
      </c>
      <c r="E546" s="2" t="str">
        <f>IFERROR(__xludf.DUMMYFUNCTION("REGEXREPLACE(A546,""^Trường\s*"","""")"),"Tiểu học Thọ Thế")</f>
        <v>Tiểu học Thọ Thế</v>
      </c>
    </row>
    <row r="547">
      <c r="A547" s="1" t="s">
        <v>1930</v>
      </c>
      <c r="B547" s="2" t="s">
        <v>1931</v>
      </c>
      <c r="C547" s="2" t="s">
        <v>1208</v>
      </c>
      <c r="E547" s="2" t="str">
        <f>IFERROR(__xludf.DUMMYFUNCTION("REGEXREPLACE(A547,""^Trường\s*"","""")"),"TH&amp;THCS Thọ Phú")</f>
        <v>TH&amp;THCS Thọ Phú</v>
      </c>
    </row>
    <row r="548">
      <c r="A548" s="1" t="s">
        <v>1947</v>
      </c>
      <c r="B548" s="2" t="s">
        <v>1949</v>
      </c>
      <c r="C548" s="2" t="s">
        <v>1208</v>
      </c>
      <c r="E548" s="2" t="str">
        <f>IFERROR(__xludf.DUMMYFUNCTION("REGEXREPLACE(A548,""^Trường\s*"","""")"),"TH&amp;THCS Xuân Lộc")</f>
        <v>TH&amp;THCS Xuân Lộc</v>
      </c>
    </row>
    <row r="549">
      <c r="A549" s="1" t="s">
        <v>2013</v>
      </c>
      <c r="B549" s="2" t="s">
        <v>2014</v>
      </c>
      <c r="C549" s="2" t="s">
        <v>1208</v>
      </c>
      <c r="E549" s="2" t="str">
        <f>IFERROR(__xludf.DUMMYFUNCTION("REGEXREPLACE(A549,""^Trường\s*"","""")"),"TH và THCS Xuân Thịnh")</f>
        <v>TH và THCS Xuân Thịnh</v>
      </c>
    </row>
    <row r="550">
      <c r="A550" s="1" t="s">
        <v>2327</v>
      </c>
      <c r="B550" s="2" t="s">
        <v>2329</v>
      </c>
      <c r="C550" s="2" t="s">
        <v>1217</v>
      </c>
      <c r="E550" s="2" t="str">
        <f>IFERROR(__xludf.DUMMYFUNCTION("REGEXREPLACE(A550,""^Trường\s*"","""")"),"Tiểu học Xuân Trường")</f>
        <v>Tiểu học Xuân Trường</v>
      </c>
    </row>
    <row r="551">
      <c r="A551" s="1" t="s">
        <v>2330</v>
      </c>
      <c r="B551" s="2" t="s">
        <v>2332</v>
      </c>
      <c r="C551" s="2" t="s">
        <v>1217</v>
      </c>
      <c r="E551" s="2" t="str">
        <f>IFERROR(__xludf.DUMMYFUNCTION("REGEXREPLACE(A551,""^Trường\s*"","""")"),"Tiểu học Thọ Xuân")</f>
        <v>Tiểu học Thọ Xuân</v>
      </c>
    </row>
    <row r="552">
      <c r="A552" s="1" t="s">
        <v>2335</v>
      </c>
      <c r="B552" s="2" t="s">
        <v>2336</v>
      </c>
      <c r="C552" s="2" t="s">
        <v>1217</v>
      </c>
      <c r="E552" s="2" t="str">
        <f>IFERROR(__xludf.DUMMYFUNCTION("REGEXREPLACE(A552,""^Trường\s*"","""")"),"Tiểu học Xuân Hồng")</f>
        <v>Tiểu học Xuân Hồng</v>
      </c>
    </row>
    <row r="553">
      <c r="A553" s="1" t="s">
        <v>2339</v>
      </c>
      <c r="B553" s="2" t="s">
        <v>2340</v>
      </c>
      <c r="C553" s="2" t="s">
        <v>1217</v>
      </c>
      <c r="E553" s="2" t="str">
        <f>IFERROR(__xludf.DUMMYFUNCTION("REGEXREPLACE(A553,""^Trường\s*"","""")"),"Tiểu học Xuân Giang")</f>
        <v>Tiểu học Xuân Giang</v>
      </c>
    </row>
    <row r="554">
      <c r="A554" s="1" t="s">
        <v>2343</v>
      </c>
      <c r="B554" s="2" t="s">
        <v>2344</v>
      </c>
      <c r="C554" s="2" t="s">
        <v>2345</v>
      </c>
      <c r="E554" s="2" t="str">
        <f>IFERROR(__xludf.DUMMYFUNCTION("REGEXREPLACE(A554,""^Trường\s*"","""")"),"Tiểu học Thượng Ninh")</f>
        <v>Tiểu học Thượng Ninh</v>
      </c>
    </row>
    <row r="555">
      <c r="A555" s="1" t="s">
        <v>2347</v>
      </c>
      <c r="B555" s="2" t="s">
        <v>2349</v>
      </c>
      <c r="C555" s="2" t="s">
        <v>2345</v>
      </c>
      <c r="E555" s="2" t="str">
        <f>IFERROR(__xludf.DUMMYFUNCTION("REGEXREPLACE(A555,""^Trường\s*"","""")"),"Tiểu học Cát Tân")</f>
        <v>Tiểu học Cát Tân</v>
      </c>
    </row>
    <row r="556">
      <c r="A556" s="1" t="s">
        <v>2350</v>
      </c>
      <c r="B556" s="2" t="s">
        <v>2352</v>
      </c>
      <c r="C556" s="2" t="s">
        <v>2345</v>
      </c>
      <c r="E556" s="2" t="str">
        <f>IFERROR(__xludf.DUMMYFUNCTION("REGEXREPLACE(A556,""^Trường\s*"","""")"),"THamp;THCS Cát Vân")</f>
        <v>THamp;THCS Cát Vân</v>
      </c>
    </row>
    <row r="557">
      <c r="A557" s="1" t="s">
        <v>2353</v>
      </c>
      <c r="B557" s="2" t="s">
        <v>2354</v>
      </c>
      <c r="C557" s="2" t="s">
        <v>1233</v>
      </c>
      <c r="E557" s="2" t="str">
        <f>IFERROR(__xludf.DUMMYFUNCTION("REGEXREPLACE(A557,""^Trường\s*"","""")"),"Tiểu Học Xuân Cẩm")</f>
        <v>Tiểu Học Xuân Cẩm</v>
      </c>
    </row>
    <row r="558">
      <c r="A558" s="1" t="s">
        <v>2356</v>
      </c>
      <c r="B558" s="2" t="s">
        <v>2357</v>
      </c>
      <c r="C558" s="2" t="s">
        <v>1233</v>
      </c>
      <c r="E558" s="2" t="str">
        <f>IFERROR(__xludf.DUMMYFUNCTION("REGEXREPLACE(A558,""^Trường\s*"","""")"),"Tiểu Học Xuân Dương")</f>
        <v>Tiểu Học Xuân Dương</v>
      </c>
    </row>
    <row r="559">
      <c r="A559" s="1" t="s">
        <v>2360</v>
      </c>
      <c r="B559" s="2" t="s">
        <v>2361</v>
      </c>
      <c r="C559" s="2" t="s">
        <v>1233</v>
      </c>
      <c r="E559" s="2" t="str">
        <f>IFERROR(__xludf.DUMMYFUNCTION("REGEXREPLACE(A559,""^Trường\s*"","""")"),"Tiểu học Thường Xuân")</f>
        <v>Tiểu học Thường Xuân</v>
      </c>
    </row>
    <row r="560">
      <c r="A560" s="1" t="s">
        <v>2362</v>
      </c>
      <c r="B560" s="2" t="s">
        <v>2364</v>
      </c>
      <c r="C560" s="2" t="s">
        <v>1233</v>
      </c>
      <c r="E560" s="2" t="str">
        <f>IFERROR(__xludf.DUMMYFUNCTION("REGEXREPLACE(A560,""^Trường\s*"","""")"),"Tiểu học Thọ Thanh")</f>
        <v>Tiểu học Thọ Thanh</v>
      </c>
    </row>
    <row r="561">
      <c r="A561" s="1" t="s">
        <v>2366</v>
      </c>
      <c r="B561" s="2" t="s">
        <v>2367</v>
      </c>
      <c r="C561" s="2" t="s">
        <v>1233</v>
      </c>
      <c r="E561" s="2" t="str">
        <f>IFERROR(__xludf.DUMMYFUNCTION("REGEXREPLACE(A561,""^Trường\s*"","""")"),"Tiểu Học Ngọc Phụng 2")</f>
        <v>Tiểu Học Ngọc Phụng 2</v>
      </c>
    </row>
    <row r="562">
      <c r="A562" s="1" t="s">
        <v>2443</v>
      </c>
      <c r="B562" s="2" t="s">
        <v>2444</v>
      </c>
      <c r="C562" s="2" t="s">
        <v>1233</v>
      </c>
      <c r="E562" s="2" t="str">
        <f>IFERROR(__xludf.DUMMYFUNCTION("REGEXREPLACE(A562,""^Trường\s*"","""")"),"Tiểu Học Ngọc Phụng 1")</f>
        <v>Tiểu Học Ngọc Phụng 1</v>
      </c>
    </row>
    <row r="563">
      <c r="A563" s="1" t="s">
        <v>2447</v>
      </c>
      <c r="B563" s="2" t="s">
        <v>2448</v>
      </c>
      <c r="C563" s="2" t="s">
        <v>1248</v>
      </c>
      <c r="E563" s="2" t="str">
        <f>IFERROR(__xludf.DUMMYFUNCTION("REGEXREPLACE(A563,""^Trường\s*"","""")"),"Tiểu học Tiên Trang")</f>
        <v>Tiểu học Tiên Trang</v>
      </c>
    </row>
    <row r="564">
      <c r="A564" s="1" t="s">
        <v>2451</v>
      </c>
      <c r="B564" s="2" t="s">
        <v>2453</v>
      </c>
      <c r="C564" s="2" t="s">
        <v>1248</v>
      </c>
      <c r="E564" s="2" t="str">
        <f>IFERROR(__xludf.DUMMYFUNCTION("REGEXREPLACE(A564,""^Trường\s*"","""")"),"Tiểu học Quảng Nham 1")</f>
        <v>Tiểu học Quảng Nham 1</v>
      </c>
    </row>
    <row r="565">
      <c r="A565" s="1" t="s">
        <v>2454</v>
      </c>
      <c r="B565" s="2" t="s">
        <v>2455</v>
      </c>
      <c r="C565" s="2" t="s">
        <v>1248</v>
      </c>
      <c r="E565" s="2" t="str">
        <f>IFERROR(__xludf.DUMMYFUNCTION("REGEXREPLACE(A565,""^Trường\s*"","""")"),"Tiểu học Quảng Thạch")</f>
        <v>Tiểu học Quảng Thạch</v>
      </c>
    </row>
    <row r="566">
      <c r="A566" s="1" t="s">
        <v>2458</v>
      </c>
      <c r="B566" s="2" t="s">
        <v>2459</v>
      </c>
      <c r="C566" s="2" t="s">
        <v>1248</v>
      </c>
      <c r="E566" s="2" t="str">
        <f>IFERROR(__xludf.DUMMYFUNCTION("REGEXREPLACE(A566,""^Trường\s*"","""")"),"Tiểu học Quảng Nham 2")</f>
        <v>Tiểu học Quảng Nham 2</v>
      </c>
    </row>
    <row r="567">
      <c r="A567" s="1" t="s">
        <v>2461</v>
      </c>
      <c r="B567" s="2" t="s">
        <v>2463</v>
      </c>
      <c r="C567" s="2" t="s">
        <v>1310</v>
      </c>
      <c r="E567" s="2" t="str">
        <f>IFERROR(__xludf.DUMMYFUNCTION("REGEXREPLACE(A567,""^Trường\s*"","""")"),"tiểu hoc Hà Tân")</f>
        <v>tiểu hoc Hà Tân</v>
      </c>
    </row>
    <row r="568">
      <c r="A568" s="1" t="s">
        <v>2465</v>
      </c>
      <c r="B568" s="2" t="s">
        <v>2466</v>
      </c>
      <c r="C568" s="2" t="s">
        <v>1310</v>
      </c>
      <c r="E568" s="2" t="str">
        <f>IFERROR(__xludf.DUMMYFUNCTION("REGEXREPLACE(A568,""^Trường\s*"","""")"),"tiểu học Hà Sơn")</f>
        <v>tiểu học Hà Sơn</v>
      </c>
    </row>
    <row r="569">
      <c r="A569" s="1" t="s">
        <v>2468</v>
      </c>
      <c r="B569" s="2" t="s">
        <v>2469</v>
      </c>
      <c r="C569" s="2" t="s">
        <v>1310</v>
      </c>
      <c r="E569" s="2" t="str">
        <f>IFERROR(__xludf.DUMMYFUNCTION("REGEXREPLACE(A569,""^Trường\s*"","""")"),"tiểu học Hà Lĩnh")</f>
        <v>tiểu học Hà Lĩnh</v>
      </c>
    </row>
    <row r="570">
      <c r="A570" s="1" t="s">
        <v>2472</v>
      </c>
      <c r="B570" s="2" t="s">
        <v>2473</v>
      </c>
      <c r="C570" s="2" t="s">
        <v>1310</v>
      </c>
      <c r="E570" s="2" t="str">
        <f>IFERROR(__xludf.DUMMYFUNCTION("REGEXREPLACE(A570,""^Trường\s*"","""")"),"Tiểu học Hà Tiến")</f>
        <v>Tiểu học Hà Tiến</v>
      </c>
    </row>
    <row r="571">
      <c r="A571" s="1" t="s">
        <v>2475</v>
      </c>
      <c r="B571" s="2" t="s">
        <v>2477</v>
      </c>
      <c r="C571" s="2" t="s">
        <v>1348</v>
      </c>
      <c r="E571" s="2" t="str">
        <f>IFERROR(__xludf.DUMMYFUNCTION("REGEXREPLACE(A571,""^Trường\s*"","""")"),"Tiểu học Đại Lộc")</f>
        <v>Tiểu học Đại Lộc</v>
      </c>
    </row>
    <row r="572">
      <c r="A572" s="1" t="s">
        <v>2479</v>
      </c>
      <c r="B572" s="2" t="s">
        <v>2480</v>
      </c>
      <c r="C572" s="2" t="s">
        <v>1348</v>
      </c>
      <c r="E572" s="2" t="str">
        <f>IFERROR(__xludf.DUMMYFUNCTION("REGEXREPLACE(A572,""^Trường\s*"","""")"),"Tiểu học Triệu Lộc")</f>
        <v>Tiểu học Triệu Lộc</v>
      </c>
    </row>
    <row r="573">
      <c r="A573" s="1" t="s">
        <v>2481</v>
      </c>
      <c r="B573" s="2" t="s">
        <v>2482</v>
      </c>
      <c r="C573" s="2" t="s">
        <v>1348</v>
      </c>
      <c r="E573" s="2" t="str">
        <f>IFERROR(__xludf.DUMMYFUNCTION("REGEXREPLACE(A573,""^Trường\s*"","""")"),"Tiểu học Tiến Lộc")</f>
        <v>Tiểu học Tiến Lộc</v>
      </c>
    </row>
    <row r="574">
      <c r="A574" s="1" t="s">
        <v>2485</v>
      </c>
      <c r="B574" s="2" t="s">
        <v>2486</v>
      </c>
      <c r="C574" s="2" t="s">
        <v>1348</v>
      </c>
      <c r="E574" s="2" t="str">
        <f>IFERROR(__xludf.DUMMYFUNCTION("REGEXREPLACE(A574,""^Trường\s*"","""")"),"Tiểu học Châu Lộc")</f>
        <v>Tiểu học Châu Lộc</v>
      </c>
    </row>
    <row r="575">
      <c r="A575" s="1" t="s">
        <v>55</v>
      </c>
      <c r="B575" s="2" t="s">
        <v>57</v>
      </c>
      <c r="C575" s="2" t="s">
        <v>58</v>
      </c>
      <c r="E575" s="2" t="str">
        <f>IFERROR(__xludf.DUMMYFUNCTION("REGEXREPLACE(A575,""^Trường\s*"","""")"),"Phổ thông Triệu Sơn")</f>
        <v>Phổ thông Triệu Sơn</v>
      </c>
    </row>
    <row r="576">
      <c r="A576" s="1" t="s">
        <v>262</v>
      </c>
      <c r="B576" s="2" t="s">
        <v>2488</v>
      </c>
      <c r="C576" s="2" t="s">
        <v>58</v>
      </c>
      <c r="E576" s="2" t="str">
        <f>IFERROR(__xludf.DUMMYFUNCTION("REGEXREPLACE(A576,""^Trường\s*"","""")"),"Tiểu học Nguyễn Bá Ngọc")</f>
        <v>Tiểu học Nguyễn Bá Ngọc</v>
      </c>
    </row>
    <row r="577">
      <c r="A577" s="1" t="s">
        <v>177</v>
      </c>
      <c r="B577" s="2" t="s">
        <v>2489</v>
      </c>
      <c r="C577" s="2" t="s">
        <v>58</v>
      </c>
      <c r="E577" s="2" t="str">
        <f>IFERROR(__xludf.DUMMYFUNCTION("REGEXREPLACE(A577,""^Trường\s*"","""")"),"Tiểu học Lê Văn Tám")</f>
        <v>Tiểu học Lê Văn Tám</v>
      </c>
    </row>
    <row r="578">
      <c r="A578" s="1" t="s">
        <v>2492</v>
      </c>
      <c r="B578" s="2" t="s">
        <v>2493</v>
      </c>
      <c r="C578" s="2" t="s">
        <v>58</v>
      </c>
      <c r="E578" s="2" t="str">
        <f>IFERROR(__xludf.DUMMYFUNCTION("REGEXREPLACE(A578,""^Trường\s*"","""")"),"Tiểu học Dân Lực")</f>
        <v>Tiểu học Dân Lực</v>
      </c>
    </row>
    <row r="579">
      <c r="A579" s="1" t="s">
        <v>2494</v>
      </c>
      <c r="B579" s="2" t="s">
        <v>2496</v>
      </c>
      <c r="C579" s="2" t="s">
        <v>58</v>
      </c>
      <c r="E579" s="2" t="str">
        <f>IFERROR(__xludf.DUMMYFUNCTION("REGEXREPLACE(A579,""^Trường\s*"","""")"),"Tiểu học Dân Quyền")</f>
        <v>Tiểu học Dân Quyền</v>
      </c>
    </row>
    <row r="580">
      <c r="A580" s="1" t="s">
        <v>1777</v>
      </c>
      <c r="B580" s="2" t="s">
        <v>2499</v>
      </c>
      <c r="C580" s="2" t="s">
        <v>58</v>
      </c>
      <c r="E580" s="2" t="str">
        <f>IFERROR(__xludf.DUMMYFUNCTION("REGEXREPLACE(A580,""^Trường\s*"","""")"),"Tiểu học Kim Đồng")</f>
        <v>Tiểu học Kim Đồng</v>
      </c>
    </row>
    <row r="581">
      <c r="A581" s="1" t="s">
        <v>2502</v>
      </c>
      <c r="B581" s="2" t="s">
        <v>2503</v>
      </c>
      <c r="C581" s="2" t="s">
        <v>58</v>
      </c>
      <c r="E581" s="2" t="str">
        <f>IFERROR(__xludf.DUMMYFUNCTION("REGEXREPLACE(A581,""^Trường\s*"","""")"),"Tiểu học Dân Lý")</f>
        <v>Tiểu học Dân Lý</v>
      </c>
    </row>
    <row r="582">
      <c r="A582" s="1" t="s">
        <v>1868</v>
      </c>
      <c r="B582" s="2" t="s">
        <v>1870</v>
      </c>
      <c r="C582" s="2" t="s">
        <v>58</v>
      </c>
      <c r="E582" s="2" t="str">
        <f>IFERROR(__xludf.DUMMYFUNCTION("REGEXREPLACE(A582,""^Trường\s*"","""")"),"TH và THCS Minh Sơn")</f>
        <v>TH và THCS Minh Sơn</v>
      </c>
    </row>
    <row r="583">
      <c r="A583" s="1" t="s">
        <v>2506</v>
      </c>
      <c r="B583" s="2" t="s">
        <v>2509</v>
      </c>
      <c r="C583" s="2" t="s">
        <v>1384</v>
      </c>
      <c r="E583" s="2" t="str">
        <f>IFERROR(__xludf.DUMMYFUNCTION("REGEXREPLACE(A583,""^Trường\s*"","""")"),"Tiểu học Tân Thọ")</f>
        <v>Tiểu học Tân Thọ</v>
      </c>
    </row>
    <row r="584">
      <c r="A584" s="1" t="s">
        <v>2511</v>
      </c>
      <c r="B584" s="2" t="s">
        <v>2512</v>
      </c>
      <c r="C584" s="2" t="s">
        <v>1384</v>
      </c>
      <c r="E584" s="2" t="str">
        <f>IFERROR(__xludf.DUMMYFUNCTION("REGEXREPLACE(A584,""^Trường\s*"","""")"),"Tiểu học Tân Khang")</f>
        <v>Tiểu học Tân Khang</v>
      </c>
    </row>
    <row r="585">
      <c r="A585" s="1" t="s">
        <v>901</v>
      </c>
      <c r="B585" s="2" t="s">
        <v>2515</v>
      </c>
      <c r="C585" s="2" t="s">
        <v>1384</v>
      </c>
      <c r="E585" s="2" t="str">
        <f>IFERROR(__xludf.DUMMYFUNCTION("REGEXREPLACE(A585,""^Trường\s*"","""")"),"Tiểu học Tân Phúc")</f>
        <v>Tiểu học Tân Phúc</v>
      </c>
    </row>
    <row r="586">
      <c r="A586" s="1" t="s">
        <v>2517</v>
      </c>
      <c r="B586" s="2" t="s">
        <v>2518</v>
      </c>
      <c r="C586" s="2" t="s">
        <v>1384</v>
      </c>
      <c r="E586" s="2" t="str">
        <f>IFERROR(__xludf.DUMMYFUNCTION("REGEXREPLACE(A586,""^Trường\s*"","""")"),"Tiểu học Trung Chính")</f>
        <v>Tiểu học Trung Chính</v>
      </c>
    </row>
    <row r="587">
      <c r="A587" s="1" t="s">
        <v>2521</v>
      </c>
      <c r="B587" s="2" t="s">
        <v>2522</v>
      </c>
      <c r="C587" s="2" t="s">
        <v>1384</v>
      </c>
      <c r="E587" s="2" t="str">
        <f>IFERROR(__xludf.DUMMYFUNCTION("REGEXREPLACE(A587,""^Trường\s*"","""")"),"Tiểu học Hoàng Giang")</f>
        <v>Tiểu học Hoàng Giang</v>
      </c>
    </row>
    <row r="588">
      <c r="A588" s="1" t="s">
        <v>2525</v>
      </c>
      <c r="B588" s="2" t="s">
        <v>2526</v>
      </c>
      <c r="C588" s="2" t="s">
        <v>1384</v>
      </c>
      <c r="E588" s="2" t="str">
        <f>IFERROR(__xludf.DUMMYFUNCTION("REGEXREPLACE(A588,""^Trường\s*"","""")"),"Tiểu học Hoàng Sơn")</f>
        <v>Tiểu học Hoàng Sơn</v>
      </c>
    </row>
    <row r="589">
      <c r="A589" s="1" t="s">
        <v>2527</v>
      </c>
      <c r="B589" s="2" t="s">
        <v>2529</v>
      </c>
      <c r="C589" s="2" t="s">
        <v>628</v>
      </c>
      <c r="E589" s="2" t="str">
        <f>IFERROR(__xludf.DUMMYFUNCTION("REGEXREPLACE(A589,""^Trường\s*"","""")"),"Tiểu học Trung Hạ")</f>
        <v>Tiểu học Trung Hạ</v>
      </c>
    </row>
    <row r="590">
      <c r="A590" s="1" t="s">
        <v>2531</v>
      </c>
      <c r="B590" s="2" t="s">
        <v>2532</v>
      </c>
      <c r="C590" s="2" t="s">
        <v>628</v>
      </c>
      <c r="E590" s="2" t="str">
        <f>IFERROR(__xludf.DUMMYFUNCTION("REGEXREPLACE(A590,""^Trường\s*"","""")"),"Tiểu học Trung Tiến")</f>
        <v>Tiểu học Trung Tiến</v>
      </c>
    </row>
    <row r="591">
      <c r="A591" s="18" t="s">
        <v>626</v>
      </c>
      <c r="B591" s="2" t="s">
        <v>627</v>
      </c>
      <c r="C591" s="2" t="s">
        <v>628</v>
      </c>
      <c r="E591" s="2" t="str">
        <f>IFERROR(__xludf.DUMMYFUNCTION("REGEXREPLACE(A591,""^Trường\s*"","""")"),"TH amp; THCS Trung Xuân")</f>
        <v>TH amp; THCS Trung Xuân</v>
      </c>
    </row>
    <row r="592">
      <c r="A592" s="1" t="s">
        <v>2536</v>
      </c>
      <c r="B592" s="2" t="s">
        <v>2537</v>
      </c>
      <c r="C592" s="2" t="s">
        <v>310</v>
      </c>
      <c r="E592" s="2" t="str">
        <f>IFERROR(__xludf.DUMMYFUNCTION("REGEXREPLACE(A592,""^Trường\s*"","""")"),"Tiểu học Trung Lý 1")</f>
        <v>Tiểu học Trung Lý 1</v>
      </c>
    </row>
    <row r="593">
      <c r="A593" s="1" t="s">
        <v>2538</v>
      </c>
      <c r="B593" s="2" t="s">
        <v>2539</v>
      </c>
      <c r="C593" s="2" t="s">
        <v>310</v>
      </c>
      <c r="E593" s="2" t="str">
        <f>IFERROR(__xludf.DUMMYFUNCTION("REGEXREPLACE(A593,""^Trường\s*"","""")"),"Tiểu học Trung Lý 2")</f>
        <v>Tiểu học Trung Lý 2</v>
      </c>
    </row>
    <row r="594">
      <c r="A594" s="1" t="s">
        <v>2540</v>
      </c>
      <c r="B594" s="2" t="s">
        <v>2543</v>
      </c>
      <c r="C594" s="2" t="s">
        <v>435</v>
      </c>
      <c r="E594" s="2" t="str">
        <f>IFERROR(__xludf.DUMMYFUNCTION("REGEXREPLACE(A594,""^Trường\s*"","""")"),"Tiểu học Trung Sơn")</f>
        <v>Tiểu học Trung Sơn</v>
      </c>
    </row>
    <row r="595">
      <c r="A595" s="1" t="s">
        <v>2544</v>
      </c>
      <c r="B595" s="2" t="s">
        <v>2545</v>
      </c>
      <c r="C595" s="2" t="s">
        <v>338</v>
      </c>
      <c r="E595" s="2" t="str">
        <f>IFERROR(__xludf.DUMMYFUNCTION("REGEXREPLACE(A595,""^Trường\s*"","""")"),"Tiểu học Thành Sơn")</f>
        <v>Tiểu học Thành Sơn</v>
      </c>
    </row>
    <row r="596">
      <c r="A596" s="1" t="s">
        <v>2108</v>
      </c>
      <c r="B596" s="2" t="s">
        <v>2548</v>
      </c>
      <c r="C596" s="2" t="s">
        <v>338</v>
      </c>
      <c r="E596" s="2" t="str">
        <f>IFERROR(__xludf.DUMMYFUNCTION("REGEXREPLACE(A596,""^Trường\s*"","""")"),"Tiểu học Trung Thành")</f>
        <v>Tiểu học Trung Thành</v>
      </c>
    </row>
    <row r="597">
      <c r="A597" s="1" t="s">
        <v>2551</v>
      </c>
      <c r="B597" s="2" t="s">
        <v>2552</v>
      </c>
      <c r="C597" s="2" t="s">
        <v>2553</v>
      </c>
      <c r="E597" s="2" t="str">
        <f>IFERROR(__xludf.DUMMYFUNCTION("REGEXREPLACE(A597,""^Trường\s*"","""")"),"Tiểu học Trường Lâm")</f>
        <v>Tiểu học Trường Lâm</v>
      </c>
    </row>
    <row r="598">
      <c r="A598" s="1" t="s">
        <v>2556</v>
      </c>
      <c r="B598" s="2" t="s">
        <v>2557</v>
      </c>
      <c r="C598" s="2" t="s">
        <v>2553</v>
      </c>
      <c r="E598" s="2" t="str">
        <f>IFERROR(__xludf.DUMMYFUNCTION("REGEXREPLACE(A598,""^Trường\s*"","""")"),"Tiểu học Tân Trường")</f>
        <v>Tiểu học Tân Trường</v>
      </c>
    </row>
    <row r="599">
      <c r="A599" s="1" t="s">
        <v>2558</v>
      </c>
      <c r="B599" s="2" t="s">
        <v>2560</v>
      </c>
      <c r="C599" s="2" t="s">
        <v>1392</v>
      </c>
      <c r="E599" s="2" t="str">
        <f>IFERROR(__xludf.DUMMYFUNCTION("REGEXREPLACE(A599,""^Trường\s*"","""")"),"Tiểu học Trường Minh")</f>
        <v>Tiểu học Trường Minh</v>
      </c>
    </row>
    <row r="600">
      <c r="A600" s="1" t="s">
        <v>2562</v>
      </c>
      <c r="B600" s="2" t="s">
        <v>2563</v>
      </c>
      <c r="C600" s="2" t="s">
        <v>1392</v>
      </c>
      <c r="E600" s="2" t="str">
        <f>IFERROR(__xludf.DUMMYFUNCTION("REGEXREPLACE(A600,""^Trường\s*"","""")"),"Tiểu học Trường Trung")</f>
        <v>Tiểu học Trường Trung</v>
      </c>
    </row>
    <row r="601">
      <c r="A601" s="1" t="s">
        <v>2566</v>
      </c>
      <c r="B601" s="2" t="s">
        <v>2567</v>
      </c>
      <c r="C601" s="2" t="s">
        <v>1392</v>
      </c>
      <c r="E601" s="2" t="str">
        <f>IFERROR(__xludf.DUMMYFUNCTION("REGEXREPLACE(A601,""^Trường\s*"","""")"),"Tiểu học Trường Giang 1")</f>
        <v>Tiểu học Trường Giang 1</v>
      </c>
    </row>
    <row r="602">
      <c r="A602" s="1" t="s">
        <v>2570</v>
      </c>
      <c r="B602" s="2" t="s">
        <v>2572</v>
      </c>
      <c r="C602" s="2" t="s">
        <v>1392</v>
      </c>
      <c r="E602" s="2" t="str">
        <f>IFERROR(__xludf.DUMMYFUNCTION("REGEXREPLACE(A602,""^Trường\s*"","""")"),"Tiểu học Trường Giang 2")</f>
        <v>Tiểu học Trường Giang 2</v>
      </c>
    </row>
    <row r="603">
      <c r="A603" s="1" t="s">
        <v>422</v>
      </c>
      <c r="B603" s="2" t="s">
        <v>2575</v>
      </c>
      <c r="C603" s="2" t="s">
        <v>1392</v>
      </c>
      <c r="E603" s="2" t="str">
        <f>IFERROR(__xludf.DUMMYFUNCTION("REGEXREPLACE(A603,""^Trường\s*"","""")"),"Tiểu học Trường Sơn")</f>
        <v>Tiểu học Trường Sơn</v>
      </c>
    </row>
    <row r="604">
      <c r="A604" s="1" t="s">
        <v>2576</v>
      </c>
      <c r="B604" s="2" t="s">
        <v>2578</v>
      </c>
      <c r="C604" s="2" t="s">
        <v>2580</v>
      </c>
      <c r="E604" s="2" t="str">
        <f>IFERROR(__xludf.DUMMYFUNCTION("REGEXREPLACE(A604,""^Trường\s*"","""")"),"Tiểu học Tượng Văn")</f>
        <v>Tiểu học Tượng Văn</v>
      </c>
    </row>
    <row r="605">
      <c r="A605" s="1" t="s">
        <v>2581</v>
      </c>
      <c r="B605" s="2" t="s">
        <v>2583</v>
      </c>
      <c r="C605" s="2" t="s">
        <v>2580</v>
      </c>
      <c r="E605" s="2" t="str">
        <f>IFERROR(__xludf.DUMMYFUNCTION("REGEXREPLACE(A605,""^Trường\s*"","""")"),"Tiểu học Tượng Lĩnh")</f>
        <v>Tiểu học Tượng Lĩnh</v>
      </c>
    </row>
    <row r="606">
      <c r="A606" s="1" t="s">
        <v>2585</v>
      </c>
      <c r="B606" s="2" t="s">
        <v>2587</v>
      </c>
      <c r="C606" s="2" t="s">
        <v>2580</v>
      </c>
      <c r="E606" s="2" t="str">
        <f>IFERROR(__xludf.DUMMYFUNCTION("REGEXREPLACE(A606,""^Trường\s*"","""")"),"Tiểu học Tượng Sơn")</f>
        <v>Tiểu học Tượng Sơn</v>
      </c>
    </row>
    <row r="607">
      <c r="A607" s="1" t="s">
        <v>2589</v>
      </c>
      <c r="B607" s="2" t="s">
        <v>2590</v>
      </c>
      <c r="C607" s="2" t="s">
        <v>1283</v>
      </c>
      <c r="E607" s="2" t="str">
        <f>IFERROR(__xludf.DUMMYFUNCTION("REGEXREPLACE(A607,""^Trường\s*"","""")"),"Tiểu học Thành Công")</f>
        <v>Tiểu học Thành Công</v>
      </c>
    </row>
    <row r="608">
      <c r="A608" s="1" t="s">
        <v>2592</v>
      </c>
      <c r="B608" s="2" t="s">
        <v>2593</v>
      </c>
      <c r="C608" s="2" t="s">
        <v>1283</v>
      </c>
      <c r="E608" s="2" t="str">
        <f>IFERROR(__xludf.DUMMYFUNCTION("REGEXREPLACE(A608,""^Trường\s*"","""")"),"Tiểu Học Thành Tân")</f>
        <v>Tiểu Học Thành Tân</v>
      </c>
    </row>
    <row r="609">
      <c r="A609" s="1" t="s">
        <v>2596</v>
      </c>
      <c r="B609" s="2" t="s">
        <v>2597</v>
      </c>
      <c r="C609" s="2" t="s">
        <v>1283</v>
      </c>
      <c r="E609" s="2" t="str">
        <f>IFERROR(__xludf.DUMMYFUNCTION("REGEXREPLACE(A609,""^Trường\s*"","""")"),"Tiểu học Thành Vân")</f>
        <v>Tiểu học Thành Vân</v>
      </c>
    </row>
    <row r="610">
      <c r="A610" s="1" t="s">
        <v>2600</v>
      </c>
      <c r="B610" s="2" t="s">
        <v>2601</v>
      </c>
      <c r="C610" s="2" t="s">
        <v>1283</v>
      </c>
      <c r="E610" s="2" t="str">
        <f>IFERROR(__xludf.DUMMYFUNCTION("REGEXREPLACE(A610,""^Trường\s*"","""")"),"Tiểu học Vân Du")</f>
        <v>Tiểu học Vân Du</v>
      </c>
    </row>
    <row r="611">
      <c r="A611" s="1" t="s">
        <v>2603</v>
      </c>
      <c r="B611" s="2" t="s">
        <v>2605</v>
      </c>
      <c r="C611" s="2" t="s">
        <v>1410</v>
      </c>
      <c r="E611" s="2" t="str">
        <f>IFERROR(__xludf.DUMMYFUNCTION("REGEXREPLACE(A611,""^Trường\s*"","""")"),"Tiểu học Đa Lộc")</f>
        <v>Tiểu học Đa Lộc</v>
      </c>
    </row>
    <row r="612">
      <c r="A612" s="1" t="s">
        <v>2606</v>
      </c>
      <c r="B612" s="2" t="s">
        <v>2608</v>
      </c>
      <c r="C612" s="2" t="s">
        <v>1410</v>
      </c>
      <c r="E612" s="2" t="str">
        <f>IFERROR(__xludf.DUMMYFUNCTION("REGEXREPLACE(A612,""^Trường\s*"","""")"),"Tiểu học Ngư Lộc 2")</f>
        <v>Tiểu học Ngư Lộc 2</v>
      </c>
    </row>
    <row r="613">
      <c r="A613" s="1" t="s">
        <v>2610</v>
      </c>
      <c r="B613" s="2" t="s">
        <v>2611</v>
      </c>
      <c r="C613" s="2" t="s">
        <v>1410</v>
      </c>
      <c r="E613" s="2" t="str">
        <f>IFERROR(__xludf.DUMMYFUNCTION("REGEXREPLACE(A613,""^Trường\s*"","""")"),"Tiểu học Hải Lộc")</f>
        <v>Tiểu học Hải Lộc</v>
      </c>
    </row>
    <row r="614">
      <c r="A614" s="1" t="s">
        <v>2614</v>
      </c>
      <c r="B614" s="2" t="s">
        <v>2615</v>
      </c>
      <c r="C614" s="2" t="s">
        <v>1410</v>
      </c>
      <c r="E614" s="2" t="str">
        <f>IFERROR(__xludf.DUMMYFUNCTION("REGEXREPLACE(A614,""^Trường\s*"","""")"),"Tiểu học Hưng Lộc 1")</f>
        <v>Tiểu học Hưng Lộc 1</v>
      </c>
    </row>
    <row r="615">
      <c r="A615" s="1" t="s">
        <v>2616</v>
      </c>
      <c r="B615" s="2" t="s">
        <v>2618</v>
      </c>
      <c r="C615" s="2" t="s">
        <v>1410</v>
      </c>
      <c r="E615" s="2" t="str">
        <f>IFERROR(__xludf.DUMMYFUNCTION("REGEXREPLACE(A615,""^Trường\s*"","""")"),"Tiểu học Ngư Lộc 1")</f>
        <v>Tiểu học Ngư Lộc 1</v>
      </c>
    </row>
    <row r="616">
      <c r="A616" s="1" t="s">
        <v>2619</v>
      </c>
      <c r="B616" s="2" t="s">
        <v>2621</v>
      </c>
      <c r="C616" s="2" t="s">
        <v>1410</v>
      </c>
      <c r="E616" s="2" t="str">
        <f>IFERROR(__xludf.DUMMYFUNCTION("REGEXREPLACE(A616,""^Trường\s*"","""")"),"Tiểu học Minh Lộc 1")</f>
        <v>Tiểu học Minh Lộc 1</v>
      </c>
    </row>
    <row r="617">
      <c r="A617" s="1" t="s">
        <v>2622</v>
      </c>
      <c r="B617" s="2" t="s">
        <v>2624</v>
      </c>
      <c r="C617" s="2" t="s">
        <v>1410</v>
      </c>
      <c r="E617" s="2" t="str">
        <f>IFERROR(__xludf.DUMMYFUNCTION("REGEXREPLACE(A617,""^Trường\s*"","""")"),"Tiểu học Minh Lộc 2")</f>
        <v>Tiểu học Minh Lộc 2</v>
      </c>
    </row>
    <row r="618">
      <c r="A618" s="1" t="s">
        <v>2626</v>
      </c>
      <c r="B618" s="2" t="s">
        <v>2627</v>
      </c>
      <c r="C618" s="2" t="s">
        <v>1410</v>
      </c>
      <c r="E618" s="2" t="str">
        <f>IFERROR(__xludf.DUMMYFUNCTION("REGEXREPLACE(A618,""^Trường\s*"","""")"),"Tiểu học Hưng Lộc 2")</f>
        <v>Tiểu học Hưng Lộc 2</v>
      </c>
    </row>
    <row r="619">
      <c r="A619" s="1" t="s">
        <v>2630</v>
      </c>
      <c r="B619" s="2" t="s">
        <v>2631</v>
      </c>
      <c r="C619" s="2" t="s">
        <v>457</v>
      </c>
      <c r="E619" s="2" t="str">
        <f>IFERROR(__xludf.DUMMYFUNCTION("REGEXREPLACE(A619,""^Trường\s*"","""")"),"Tiểu học Văn Nho")</f>
        <v>Tiểu học Văn Nho</v>
      </c>
    </row>
    <row r="620">
      <c r="A620" s="1" t="s">
        <v>2634</v>
      </c>
      <c r="B620" s="2" t="s">
        <v>2635</v>
      </c>
      <c r="C620" s="2" t="s">
        <v>457</v>
      </c>
      <c r="E620" s="2" t="str">
        <f>IFERROR(__xludf.DUMMYFUNCTION("REGEXREPLACE(A620,""^Trường\s*"","""")"),"Tiểu học Kỳ Tân")</f>
        <v>Tiểu học Kỳ Tân</v>
      </c>
    </row>
    <row r="621">
      <c r="A621" s="1" t="s">
        <v>2637</v>
      </c>
      <c r="B621" s="2" t="s">
        <v>2639</v>
      </c>
      <c r="C621" s="2" t="s">
        <v>743</v>
      </c>
      <c r="E621" s="2" t="str">
        <f>IFERROR(__xludf.DUMMYFUNCTION("REGEXREPLACE(A621,""^Trường\s*"","""")"),"Tiểu Học Lâm Phú")</f>
        <v>Tiểu Học Lâm Phú</v>
      </c>
    </row>
    <row r="622">
      <c r="A622" s="1" t="s">
        <v>740</v>
      </c>
      <c r="B622" s="2" t="s">
        <v>742</v>
      </c>
      <c r="C622" s="2" t="s">
        <v>743</v>
      </c>
      <c r="E622" s="2" t="str">
        <f>IFERROR(__xludf.DUMMYFUNCTION("REGEXREPLACE(A622,""^Trường\s*"","""")"),"TH&amp;THCS Tam Văn")</f>
        <v>TH&amp;THCS Tam Văn</v>
      </c>
    </row>
    <row r="623">
      <c r="A623" s="1" t="s">
        <v>2642</v>
      </c>
      <c r="B623" s="2" t="s">
        <v>2643</v>
      </c>
      <c r="C623" s="2" t="s">
        <v>1419</v>
      </c>
      <c r="E623" s="2" t="str">
        <f>IFERROR(__xludf.DUMMYFUNCTION("REGEXREPLACE(A623,""^Trường\s*"","""")"),"Tiểu Học Vạn Xuân")</f>
        <v>Tiểu Học Vạn Xuân</v>
      </c>
    </row>
    <row r="624">
      <c r="A624" s="1" t="s">
        <v>2646</v>
      </c>
      <c r="B624" s="2" t="s">
        <v>2647</v>
      </c>
      <c r="C624" s="2" t="s">
        <v>1407</v>
      </c>
      <c r="E624" s="2" t="str">
        <f>IFERROR(__xludf.DUMMYFUNCTION("REGEXREPLACE(A624,""^Trường\s*"","""")"),"tiểu học Vĩnh Hòa")</f>
        <v>tiểu học Vĩnh Hòa</v>
      </c>
    </row>
    <row r="625">
      <c r="A625" s="1" t="s">
        <v>2648</v>
      </c>
      <c r="B625" s="2" t="s">
        <v>2650</v>
      </c>
      <c r="C625" s="2" t="s">
        <v>1407</v>
      </c>
      <c r="E625" s="2" t="str">
        <f>IFERROR(__xludf.DUMMYFUNCTION("REGEXREPLACE(A625,""^Trường\s*"","""")"),"Tiểu học Vĩnh Ninh")</f>
        <v>Tiểu học Vĩnh Ninh</v>
      </c>
    </row>
    <row r="626">
      <c r="A626" s="1" t="s">
        <v>2652</v>
      </c>
      <c r="B626" s="2" t="s">
        <v>2653</v>
      </c>
      <c r="C626" s="2" t="s">
        <v>1407</v>
      </c>
      <c r="E626" s="2" t="str">
        <f>IFERROR(__xludf.DUMMYFUNCTION("REGEXREPLACE(A626,""^Trường\s*"","""")"),"tiểu học Vĩnh Thành")</f>
        <v>tiểu học Vĩnh Thành</v>
      </c>
    </row>
    <row r="627">
      <c r="A627" s="1" t="s">
        <v>2656</v>
      </c>
      <c r="B627" s="2" t="s">
        <v>2657</v>
      </c>
      <c r="C627" s="2" t="s">
        <v>1407</v>
      </c>
      <c r="E627" s="2" t="str">
        <f>IFERROR(__xludf.DUMMYFUNCTION("REGEXREPLACE(A627,""^Trường\s*"","""")"),"tiểu học Vĩnh Phúc")</f>
        <v>tiểu học Vĩnh Phúc</v>
      </c>
    </row>
    <row r="628">
      <c r="A628" s="1" t="s">
        <v>2658</v>
      </c>
      <c r="B628" s="2" t="s">
        <v>2660</v>
      </c>
      <c r="C628" s="2" t="s">
        <v>1407</v>
      </c>
      <c r="E628" s="2" t="str">
        <f>IFERROR(__xludf.DUMMYFUNCTION("REGEXREPLACE(A628,""^Trường\s*"","""")"),"tiểu học Vĩnh Hưng")</f>
        <v>tiểu học Vĩnh Hưng</v>
      </c>
    </row>
    <row r="629">
      <c r="A629" s="1" t="s">
        <v>2662</v>
      </c>
      <c r="B629" s="2" t="s">
        <v>2663</v>
      </c>
      <c r="C629" s="2" t="s">
        <v>1407</v>
      </c>
      <c r="E629" s="2" t="str">
        <f>IFERROR(__xludf.DUMMYFUNCTION("REGEXREPLACE(A629,""^Trường\s*"","""")"),"Tiểu học Vĩnh Lộc")</f>
        <v>Tiểu học Vĩnh Lộc</v>
      </c>
    </row>
    <row r="630">
      <c r="A630" s="1" t="s">
        <v>1413</v>
      </c>
      <c r="B630" s="2" t="s">
        <v>1415</v>
      </c>
      <c r="C630" s="2" t="s">
        <v>1407</v>
      </c>
      <c r="E630" s="2" t="str">
        <f>IFERROR(__xludf.DUMMYFUNCTION("REGEXREPLACE(A630,""^Trường\s*"","""")"),"TH&amp;THCS Vĩnh Khang")</f>
        <v>TH&amp;THCS Vĩnh Khang</v>
      </c>
    </row>
    <row r="631">
      <c r="A631" s="1" t="s">
        <v>2671</v>
      </c>
      <c r="B631" s="2" t="s">
        <v>2673</v>
      </c>
      <c r="C631" s="2" t="s">
        <v>1435</v>
      </c>
      <c r="E631" s="2" t="str">
        <f>IFERROR(__xludf.DUMMYFUNCTION("REGEXREPLACE(A631,""^Trường\s*"","""")"),"Tiểu Học Xuân Bình")</f>
        <v>Tiểu Học Xuân Bình</v>
      </c>
    </row>
    <row r="632">
      <c r="A632" s="1" t="s">
        <v>2674</v>
      </c>
      <c r="B632" s="2" t="s">
        <v>2676</v>
      </c>
      <c r="C632" s="2" t="s">
        <v>1435</v>
      </c>
      <c r="E632" s="2" t="str">
        <f>IFERROR(__xludf.DUMMYFUNCTION("REGEXREPLACE(A632,""^Trường\s*"","""")"),"Tiểu Học Bãi Trành")</f>
        <v>Tiểu Học Bãi Trành</v>
      </c>
    </row>
    <row r="633">
      <c r="A633" s="1" t="s">
        <v>2678</v>
      </c>
      <c r="B633" s="2" t="s">
        <v>2679</v>
      </c>
      <c r="C633" s="2" t="s">
        <v>1435</v>
      </c>
      <c r="E633" s="2" t="str">
        <f>IFERROR(__xludf.DUMMYFUNCTION("REGEXREPLACE(A633,""^Trường\s*"","""")"),"Tiểu Học Xuân Hòa")</f>
        <v>Tiểu Học Xuân Hòa</v>
      </c>
    </row>
    <row r="634">
      <c r="A634" s="1" t="s">
        <v>2681</v>
      </c>
      <c r="B634" s="2" t="s">
        <v>2683</v>
      </c>
      <c r="C634" s="2" t="s">
        <v>1782</v>
      </c>
      <c r="E634" s="2" t="str">
        <f>IFERROR(__xludf.DUMMYFUNCTION("REGEXREPLACE(A634,""^Trường\s*"","""")"),"Tiểu Học Xuân Chinh")</f>
        <v>Tiểu Học Xuân Chinh</v>
      </c>
    </row>
    <row r="635">
      <c r="A635" s="1" t="s">
        <v>2684</v>
      </c>
      <c r="B635" s="2" t="s">
        <v>2686</v>
      </c>
      <c r="C635" s="2" t="s">
        <v>1782</v>
      </c>
      <c r="E635" s="2" t="str">
        <f>IFERROR(__xludf.DUMMYFUNCTION("REGEXREPLACE(A635,""^Trường\s*"","""")"),"Tiểu học Xuân Lẹ")</f>
        <v>Tiểu học Xuân Lẹ</v>
      </c>
    </row>
    <row r="636">
      <c r="A636" s="1" t="s">
        <v>2688</v>
      </c>
      <c r="B636" s="2" t="s">
        <v>2689</v>
      </c>
      <c r="C636" s="2" t="s">
        <v>63</v>
      </c>
      <c r="E636" s="2" t="str">
        <f>IFERROR(__xludf.DUMMYFUNCTION("REGEXREPLACE(A636,""^Trường\s*"","""")"),"Tiểu học Xuân Du")</f>
        <v>Tiểu học Xuân Du</v>
      </c>
    </row>
    <row r="637">
      <c r="A637" s="1" t="s">
        <v>2692</v>
      </c>
      <c r="B637" s="2" t="s">
        <v>2693</v>
      </c>
      <c r="C637" s="2" t="s">
        <v>63</v>
      </c>
      <c r="E637" s="2" t="str">
        <f>IFERROR(__xludf.DUMMYFUNCTION("REGEXREPLACE(A637,""^Trường\s*"","""")"),"Tiểu học Cán Khê")</f>
        <v>Tiểu học Cán Khê</v>
      </c>
    </row>
    <row r="638">
      <c r="A638" s="1" t="s">
        <v>2695</v>
      </c>
      <c r="B638" s="2" t="s">
        <v>2697</v>
      </c>
      <c r="C638" s="2" t="s">
        <v>63</v>
      </c>
      <c r="E638" s="2" t="str">
        <f>IFERROR(__xludf.DUMMYFUNCTION("REGEXREPLACE(A638,""^Trường\s*"","""")"),"Tiểu học Phượng Nghi")</f>
        <v>Tiểu học Phượng Nghi</v>
      </c>
    </row>
    <row r="639">
      <c r="A639" s="1" t="s">
        <v>2698</v>
      </c>
      <c r="B639" s="2" t="s">
        <v>2699</v>
      </c>
      <c r="C639" s="2" t="s">
        <v>1635</v>
      </c>
      <c r="E639" s="2" t="str">
        <f>IFERROR(__xludf.DUMMYFUNCTION("REGEXREPLACE(A639,""^Trường\s*"","""")"),"Tiểu học Xuân Hòa")</f>
        <v>Tiểu học Xuân Hòa</v>
      </c>
    </row>
    <row r="640">
      <c r="A640" s="1" t="s">
        <v>2702</v>
      </c>
      <c r="B640" s="2" t="s">
        <v>2703</v>
      </c>
      <c r="C640" s="2" t="s">
        <v>1635</v>
      </c>
      <c r="E640" s="2" t="str">
        <f>IFERROR(__xludf.DUMMYFUNCTION("REGEXREPLACE(A640,""^Trường\s*"","""")"),"Tiểu học Thọ Hải")</f>
        <v>Tiểu học Thọ Hải</v>
      </c>
    </row>
    <row r="641">
      <c r="A641" s="1" t="s">
        <v>2706</v>
      </c>
      <c r="B641" s="2" t="s">
        <v>2707</v>
      </c>
      <c r="C641" s="2" t="s">
        <v>1635</v>
      </c>
      <c r="E641" s="2" t="str">
        <f>IFERROR(__xludf.DUMMYFUNCTION("REGEXREPLACE(A641,""^Trường\s*"","""")"),"Tiểu học Xuân Hưng")</f>
        <v>Tiểu học Xuân Hưng</v>
      </c>
    </row>
    <row r="642">
      <c r="A642" s="1" t="s">
        <v>2708</v>
      </c>
      <c r="B642" s="2" t="s">
        <v>2709</v>
      </c>
      <c r="C642" s="2" t="s">
        <v>1635</v>
      </c>
      <c r="E642" s="2" t="str">
        <f>IFERROR(__xludf.DUMMYFUNCTION("REGEXREPLACE(A642,""^Trường\s*"","""")"),"Tiểu học Thọ Diên")</f>
        <v>Tiểu học Thọ Diên</v>
      </c>
    </row>
    <row r="643">
      <c r="A643" s="1" t="s">
        <v>2712</v>
      </c>
      <c r="B643" s="2" t="s">
        <v>2714</v>
      </c>
      <c r="C643" s="2" t="s">
        <v>1445</v>
      </c>
      <c r="E643" s="2" t="str">
        <f>IFERROR(__xludf.DUMMYFUNCTION("REGEXREPLACE(A643,""^Trường\s*"","""")"),"Tiểu học Xuân Lai")</f>
        <v>Tiểu học Xuân Lai</v>
      </c>
    </row>
    <row r="644">
      <c r="A644" s="1" t="s">
        <v>2715</v>
      </c>
      <c r="B644" s="2" t="s">
        <v>2717</v>
      </c>
      <c r="C644" s="2" t="s">
        <v>1445</v>
      </c>
      <c r="E644" s="2" t="str">
        <f>IFERROR(__xludf.DUMMYFUNCTION("REGEXREPLACE(A644,""^Trường\s*"","""")"),"Tiểu học Xuân Lập")</f>
        <v>Tiểu học Xuân Lập</v>
      </c>
    </row>
    <row r="645">
      <c r="A645" s="1" t="s">
        <v>3216</v>
      </c>
      <c r="B645" s="2" t="s">
        <v>2720</v>
      </c>
      <c r="C645" s="2" t="s">
        <v>1445</v>
      </c>
      <c r="E645" s="2" t="str">
        <f>IFERROR(__xludf.DUMMYFUNCTION("REGEXREPLACE(A645,""^Trường\s*"","""")"),"Tiểu học Trường Xuân")</f>
        <v>Tiểu học Trường Xuân</v>
      </c>
    </row>
    <row r="646">
      <c r="A646" s="1" t="s">
        <v>2723</v>
      </c>
      <c r="B646" s="2" t="s">
        <v>2724</v>
      </c>
      <c r="C646" s="2" t="s">
        <v>1445</v>
      </c>
      <c r="E646" s="2" t="str">
        <f>IFERROR(__xludf.DUMMYFUNCTION("REGEXREPLACE(A646,""^Trường\s*"","""")"),"Tiểu học Xuân Minh")</f>
        <v>Tiểu học Xuân Minh</v>
      </c>
    </row>
    <row r="647">
      <c r="A647" s="1" t="s">
        <v>2726</v>
      </c>
      <c r="B647" s="2" t="s">
        <v>2727</v>
      </c>
      <c r="C647" s="2" t="s">
        <v>2571</v>
      </c>
      <c r="E647" s="2" t="str">
        <f>IFERROR(__xludf.DUMMYFUNCTION("REGEXREPLACE(A647,""^Trường\s*"","""")"),"Tiểu học Xuân Thái")</f>
        <v>Tiểu học Xuân Thái</v>
      </c>
    </row>
    <row r="648">
      <c r="A648" s="1" t="s">
        <v>2729</v>
      </c>
      <c r="B648" s="2" t="s">
        <v>2730</v>
      </c>
      <c r="C648" s="2" t="s">
        <v>1709</v>
      </c>
      <c r="E648" s="2" t="str">
        <f>IFERROR(__xludf.DUMMYFUNCTION("REGEXREPLACE(A648,""^Trường\s*"","""")"),"Tiểu học Xuân Tín")</f>
        <v>Tiểu học Xuân Tín</v>
      </c>
    </row>
    <row r="649">
      <c r="A649" s="1" t="s">
        <v>384</v>
      </c>
      <c r="B649" s="2" t="s">
        <v>2732</v>
      </c>
      <c r="C649" s="2" t="s">
        <v>1709</v>
      </c>
      <c r="E649" s="2" t="str">
        <f>IFERROR(__xludf.DUMMYFUNCTION("REGEXREPLACE(A649,""^Trường\s*"","""")"),"Tiểu học Quảng Phú")</f>
        <v>Tiểu học Quảng Phú</v>
      </c>
    </row>
    <row r="650">
      <c r="A650" s="1" t="s">
        <v>1794</v>
      </c>
      <c r="B650" s="2" t="s">
        <v>2735</v>
      </c>
      <c r="C650" s="2" t="s">
        <v>1709</v>
      </c>
      <c r="E650" s="2" t="str">
        <f>IFERROR(__xludf.DUMMYFUNCTION("REGEXREPLACE(A650,""^Trường\s*"","""")"),"Tiểu học Phú Xuân")</f>
        <v>Tiểu học Phú Xuân</v>
      </c>
    </row>
    <row r="651">
      <c r="A651" s="1" t="s">
        <v>1455</v>
      </c>
      <c r="B651" s="2" t="s">
        <v>1456</v>
      </c>
      <c r="C651" s="2" t="s">
        <v>1452</v>
      </c>
      <c r="E651" s="2" t="str">
        <f>IFERROR(__xludf.DUMMYFUNCTION("REGEXREPLACE(A651,""^Trường\s*"","""")"),"TH,THCS&amp;THPT Nobel School VIII")</f>
        <v>TH,THCS&amp;THPT Nobel School VIII</v>
      </c>
    </row>
    <row r="652">
      <c r="A652" s="1" t="s">
        <v>2737</v>
      </c>
      <c r="B652" s="2" t="s">
        <v>2738</v>
      </c>
      <c r="C652" s="2" t="s">
        <v>1452</v>
      </c>
      <c r="E652" s="2" t="str">
        <f>IFERROR(__xludf.DUMMYFUNCTION("REGEXREPLACE(A652,""^Trường\s*"","""")"),"Tiểu Học Định Tăng")</f>
        <v>Tiểu Học Định Tăng</v>
      </c>
    </row>
    <row r="653">
      <c r="A653" s="1" t="s">
        <v>2739</v>
      </c>
      <c r="B653" s="2" t="s">
        <v>2740</v>
      </c>
      <c r="C653" s="2" t="s">
        <v>1452</v>
      </c>
      <c r="E653" s="2" t="str">
        <f>IFERROR(__xludf.DUMMYFUNCTION("REGEXREPLACE(A653,""^Trường\s*"","""")"),"Tiểu Học Định Tường")</f>
        <v>Tiểu Học Định Tường</v>
      </c>
    </row>
    <row r="654">
      <c r="A654" s="1" t="s">
        <v>2742</v>
      </c>
      <c r="B654" s="2" t="s">
        <v>2744</v>
      </c>
      <c r="C654" s="2" t="s">
        <v>1452</v>
      </c>
      <c r="E654" s="2" t="str">
        <f>IFERROR(__xludf.DUMMYFUNCTION("REGEXREPLACE(A654,""^Trường\s*"","""")"),"Tiểu Học Định Long")</f>
        <v>Tiểu Học Định Long</v>
      </c>
    </row>
    <row r="655">
      <c r="A655" s="1" t="s">
        <v>2745</v>
      </c>
      <c r="B655" s="2" t="s">
        <v>2747</v>
      </c>
      <c r="C655" s="2" t="s">
        <v>1452</v>
      </c>
      <c r="E655" s="2" t="str">
        <f>IFERROR(__xludf.DUMMYFUNCTION("REGEXREPLACE(A655,""^Trường\s*"","""")"),"Tiểu Học Định Liên")</f>
        <v>Tiểu Học Định Liên</v>
      </c>
    </row>
    <row r="656">
      <c r="A656" s="1" t="s">
        <v>2748</v>
      </c>
      <c r="B656" s="2" t="s">
        <v>2749</v>
      </c>
      <c r="C656" s="2" t="s">
        <v>1452</v>
      </c>
      <c r="E656" s="2" t="str">
        <f>IFERROR(__xludf.DUMMYFUNCTION("REGEXREPLACE(A656,""^Trường\s*"","""")"),"Tiểu Học Quán Lào")</f>
        <v>Tiểu Học Quán Lào</v>
      </c>
    </row>
    <row r="657">
      <c r="A657" s="1" t="s">
        <v>2751</v>
      </c>
      <c r="B657" s="2" t="s">
        <v>2753</v>
      </c>
      <c r="C657" s="2" t="s">
        <v>784</v>
      </c>
      <c r="E657" s="2" t="str">
        <f>IFERROR(__xludf.DUMMYFUNCTION("REGEXREPLACE(A657,""^Trường\s*"","""")"),"Tiểu Học Yên Khương")</f>
        <v>Tiểu Học Yên Khương</v>
      </c>
    </row>
    <row r="658">
      <c r="A658" s="1" t="s">
        <v>2755</v>
      </c>
      <c r="B658" s="2" t="s">
        <v>2756</v>
      </c>
      <c r="C658" s="2" t="s">
        <v>1819</v>
      </c>
      <c r="E658" s="2" t="str">
        <f>IFERROR(__xludf.DUMMYFUNCTION("REGEXREPLACE(A658,""^Trường\s*"","""")"),"Tiểu Học Yên Nhân 1")</f>
        <v>Tiểu Học Yên Nhân 1</v>
      </c>
    </row>
    <row r="659">
      <c r="A659" s="1" t="s">
        <v>2757</v>
      </c>
      <c r="B659" s="2" t="s">
        <v>2758</v>
      </c>
      <c r="C659" s="2" t="s">
        <v>1819</v>
      </c>
      <c r="E659" s="2" t="str">
        <f>IFERROR(__xludf.DUMMYFUNCTION("REGEXREPLACE(A659,""^Trường\s*"","""")"),"Tiểu học Yên Nhân 2")</f>
        <v>Tiểu học Yên Nhân 2</v>
      </c>
    </row>
    <row r="660">
      <c r="A660" s="1" t="s">
        <v>2759</v>
      </c>
      <c r="B660" s="2" t="s">
        <v>2760</v>
      </c>
      <c r="C660" s="2" t="s">
        <v>1538</v>
      </c>
      <c r="E660" s="2" t="str">
        <f>IFERROR(__xludf.DUMMYFUNCTION("REGEXREPLACE(A660,""^Trường\s*"","""")"),"Tiểu Học Yên Hùng")</f>
        <v>Tiểu Học Yên Hùng</v>
      </c>
    </row>
    <row r="661">
      <c r="A661" s="1" t="s">
        <v>2762</v>
      </c>
      <c r="B661" s="2" t="s">
        <v>2764</v>
      </c>
      <c r="C661" s="2" t="s">
        <v>1538</v>
      </c>
      <c r="E661" s="2" t="str">
        <f>IFERROR(__xludf.DUMMYFUNCTION("REGEXREPLACE(A661,""^Trường\s*"","""")"),"Tiểu Học Yên Thịnh")</f>
        <v>Tiểu Học Yên Thịnh</v>
      </c>
    </row>
    <row r="662">
      <c r="A662" s="1" t="s">
        <v>2765</v>
      </c>
      <c r="B662" s="2" t="s">
        <v>2767</v>
      </c>
      <c r="C662" s="2" t="s">
        <v>1538</v>
      </c>
      <c r="E662" s="2" t="str">
        <f>IFERROR(__xludf.DUMMYFUNCTION("REGEXREPLACE(A662,""^Trường\s*"","""")"),"Tiểu Học Yên Lạc")</f>
        <v>Tiểu Học Yên Lạc</v>
      </c>
    </row>
    <row r="663">
      <c r="A663" s="1" t="s">
        <v>1541</v>
      </c>
      <c r="B663" s="2" t="s">
        <v>1542</v>
      </c>
      <c r="C663" s="2" t="s">
        <v>1538</v>
      </c>
      <c r="E663" s="2" t="str">
        <f>IFERROR(__xludf.DUMMYFUNCTION("REGEXREPLACE(A663,""^Trường\s*"","""")"),"TH&amp;THCS Yên Ninh")</f>
        <v>TH&amp;THCS Yên Ninh</v>
      </c>
    </row>
    <row r="664">
      <c r="A664" s="1" t="s">
        <v>2772</v>
      </c>
      <c r="B664" s="2" t="s">
        <v>2773</v>
      </c>
      <c r="C664" s="2" t="s">
        <v>32</v>
      </c>
      <c r="E664" s="2" t="str">
        <f>IFERROR(__xludf.DUMMYFUNCTION("REGEXREPLACE(A664,""^Trường\s*"","""")"),"Tiểu Học Yên Tâm")</f>
        <v>Tiểu Học Yên Tâm</v>
      </c>
    </row>
    <row r="665">
      <c r="A665" s="1" t="s">
        <v>2774</v>
      </c>
      <c r="B665" s="2" t="s">
        <v>2775</v>
      </c>
      <c r="C665" s="2" t="s">
        <v>32</v>
      </c>
      <c r="E665" s="2" t="str">
        <f>IFERROR(__xludf.DUMMYFUNCTION("REGEXREPLACE(A665,""^Trường\s*"","""")"),"Tiểu học Thị trấn Thống Nhất")</f>
        <v>Tiểu học Thị trấn Thống Nhất</v>
      </c>
    </row>
    <row r="666">
      <c r="A666" s="1" t="s">
        <v>2777</v>
      </c>
      <c r="B666" s="2" t="s">
        <v>2778</v>
      </c>
      <c r="C666" s="2" t="s">
        <v>32</v>
      </c>
      <c r="E666" s="2" t="str">
        <f>IFERROR(__xludf.DUMMYFUNCTION("REGEXREPLACE(A666,""^Trường\s*"","""")"),"Tiểu Học Yên Phú")</f>
        <v>Tiểu Học Yên Phú</v>
      </c>
    </row>
    <row r="667">
      <c r="A667" s="1" t="s">
        <v>2779</v>
      </c>
      <c r="B667" s="2" t="s">
        <v>2781</v>
      </c>
      <c r="C667" s="2" t="s">
        <v>809</v>
      </c>
      <c r="E667" s="2" t="str">
        <f>IFERROR(__xludf.DUMMYFUNCTION("REGEXREPLACE(A667,""^Trường\s*"","""")"),"Tiểu Học Yên Thắng")</f>
        <v>Tiểu Học Yên Thắng</v>
      </c>
    </row>
    <row r="668">
      <c r="A668" s="1" t="s">
        <v>2783</v>
      </c>
      <c r="B668" s="2" t="s">
        <v>2784</v>
      </c>
      <c r="C668" s="2" t="s">
        <v>2547</v>
      </c>
      <c r="E668" s="2" t="str">
        <f>IFERROR(__xludf.DUMMYFUNCTION("REGEXREPLACE(A668,""^Trường\s*"","""")"),"Tiểu Học Yên Thọ 1")</f>
        <v>Tiểu Học Yên Thọ 1</v>
      </c>
    </row>
    <row r="669">
      <c r="A669" s="1" t="s">
        <v>2787</v>
      </c>
      <c r="B669" s="2" t="s">
        <v>2789</v>
      </c>
      <c r="C669" s="2" t="s">
        <v>2547</v>
      </c>
      <c r="E669" s="2" t="str">
        <f>IFERROR(__xludf.DUMMYFUNCTION("REGEXREPLACE(A669,""^Trường\s*"","""")"),"Tiểu học Yên Thọ 2")</f>
        <v>Tiểu học Yên Thọ 2</v>
      </c>
    </row>
    <row r="670">
      <c r="A670" s="1" t="s">
        <v>2790</v>
      </c>
      <c r="B670" s="2" t="s">
        <v>2791</v>
      </c>
      <c r="C670" s="2" t="s">
        <v>2547</v>
      </c>
      <c r="E670" s="2" t="str">
        <f>IFERROR(__xludf.DUMMYFUNCTION("REGEXREPLACE(A670,""^Trường\s*"","""")"),"Tiểu học Xuân Phúc")</f>
        <v>Tiểu học Xuân Phúc</v>
      </c>
    </row>
    <row r="671">
      <c r="A671" s="1" t="s">
        <v>2792</v>
      </c>
      <c r="B671" s="2" t="s">
        <v>2793</v>
      </c>
      <c r="C671" s="2" t="s">
        <v>2547</v>
      </c>
      <c r="E671" s="2" t="str">
        <f>IFERROR(__xludf.DUMMYFUNCTION("REGEXREPLACE(A671,""^Trường\s*"","""")"),"Tiểu học Yên Lạc")</f>
        <v>Tiểu học Yên Lạc</v>
      </c>
    </row>
    <row r="672">
      <c r="A672" s="1" t="s">
        <v>2794</v>
      </c>
      <c r="B672" s="2" t="s">
        <v>2795</v>
      </c>
      <c r="C672" s="2" t="s">
        <v>1479</v>
      </c>
      <c r="E672" s="2" t="str">
        <f>IFERROR(__xludf.DUMMYFUNCTION("REGEXREPLACE(A672,""^Trường\s*"","""")"),"Tiểu học Yên Trung")</f>
        <v>Tiểu học Yên Trung</v>
      </c>
    </row>
    <row r="673">
      <c r="A673" s="1" t="s">
        <v>2798</v>
      </c>
      <c r="B673" s="2" t="s">
        <v>2799</v>
      </c>
      <c r="C673" s="2" t="s">
        <v>1479</v>
      </c>
      <c r="E673" s="2" t="str">
        <f>IFERROR(__xludf.DUMMYFUNCTION("REGEXREPLACE(A673,""^Trường\s*"","""")"),"Tiểu học Yên Phong")</f>
        <v>Tiểu học Yên Phong</v>
      </c>
    </row>
    <row r="674">
      <c r="A674" s="1" t="s">
        <v>2801</v>
      </c>
      <c r="B674" s="2" t="s">
        <v>2802</v>
      </c>
      <c r="C674" s="2" t="s">
        <v>1479</v>
      </c>
      <c r="E674" s="2" t="str">
        <f>IFERROR(__xludf.DUMMYFUNCTION("REGEXREPLACE(A674,""^Trường\s*"","""")"),"Tiểu Học Yên Thái")</f>
        <v>Tiểu Học Yên Thái</v>
      </c>
    </row>
    <row r="675">
      <c r="A675" s="1" t="s">
        <v>2803</v>
      </c>
      <c r="B675" s="2" t="s">
        <v>2805</v>
      </c>
      <c r="C675" s="2" t="s">
        <v>1479</v>
      </c>
      <c r="E675" s="2" t="str">
        <f>IFERROR(__xludf.DUMMYFUNCTION("REGEXREPLACE(A675,""^Trường\s*"","""")"),"Tiểu học Yên Trường")</f>
        <v>Tiểu học Yên Trường</v>
      </c>
    </row>
    <row r="676">
      <c r="A676" s="1" t="s">
        <v>4</v>
      </c>
      <c r="B676" s="2" t="s">
        <v>5</v>
      </c>
      <c r="C676" s="2" t="s">
        <v>7</v>
      </c>
      <c r="E676" s="2" t="str">
        <f>IFERROR(__xludf.DUMMYFUNCTION("REGEXREPLACE(A676,""^Trường\s*"","""")"),"Tiểu học, THCS&amp;THPT Nobel School V")</f>
        <v>Tiểu học, THCS&amp;THPT Nobel School V</v>
      </c>
    </row>
    <row r="677">
      <c r="A677" s="1" t="s">
        <v>8</v>
      </c>
      <c r="B677" s="2" t="s">
        <v>9</v>
      </c>
      <c r="C677" s="2" t="s">
        <v>10</v>
      </c>
      <c r="E677" s="2" t="str">
        <f>IFERROR(__xludf.DUMMYFUNCTION("REGEXREPLACE(A677,""^Trường\s*"","""")"),"TH, THCS&amp;THPT Delta")</f>
        <v>TH, THCS&amp;THPT Delta</v>
      </c>
    </row>
    <row r="678">
      <c r="A678" s="1" t="s">
        <v>11</v>
      </c>
      <c r="B678" s="2" t="s">
        <v>12</v>
      </c>
      <c r="C678" s="2" t="s">
        <v>13</v>
      </c>
      <c r="E678" s="2" t="str">
        <f>IFERROR(__xludf.DUMMYFUNCTION("REGEXREPLACE(A678,""^Trường\s*"","""")"),"TH, THCS&amp;THPT Hồng Đức")</f>
        <v>TH, THCS&amp;THPT Hồng Đức</v>
      </c>
    </row>
    <row r="679">
      <c r="A679" s="1" t="s">
        <v>15</v>
      </c>
      <c r="B679" s="2" t="s">
        <v>16</v>
      </c>
      <c r="C679" s="2" t="s">
        <v>17</v>
      </c>
      <c r="E679" s="2" t="str">
        <f>IFERROR(__xludf.DUMMYFUNCTION("REGEXREPLACE(A679,""^Trường\s*"","""")"),"TH, THCS và THPT Nobel School II")</f>
        <v>TH, THCS và THPT Nobel School II</v>
      </c>
    </row>
    <row r="680">
      <c r="A680" s="1" t="s">
        <v>19</v>
      </c>
      <c r="B680" s="2" t="s">
        <v>20</v>
      </c>
      <c r="C680" s="2" t="s">
        <v>21</v>
      </c>
      <c r="E680" s="2" t="str">
        <f>IFERROR(__xludf.DUMMYFUNCTION("REGEXREPLACE(A680,""^Trường\s*"","""")"),"TH, THCS&amp;THPT Nobel School III")</f>
        <v>TH, THCS&amp;THPT Nobel School III</v>
      </c>
    </row>
    <row r="681">
      <c r="A681" s="1" t="s">
        <v>22</v>
      </c>
      <c r="B681" s="2" t="s">
        <v>23</v>
      </c>
      <c r="C681" s="2" t="s">
        <v>24</v>
      </c>
      <c r="E681" s="2" t="str">
        <f>IFERROR(__xludf.DUMMYFUNCTION("REGEXREPLACE(A681,""^Trường\s*"","""")"),"TH, THCS&amp;THPT FPT")</f>
        <v>TH, THCS&amp;THPT FPT</v>
      </c>
    </row>
    <row r="682">
      <c r="A682" s="1" t="s">
        <v>25</v>
      </c>
      <c r="B682" s="2" t="s">
        <v>26</v>
      </c>
      <c r="C682" s="2" t="s">
        <v>17</v>
      </c>
      <c r="E682" s="2" t="str">
        <f>IFERROR(__xludf.DUMMYFUNCTION("REGEXREPLACE(A682,""^Trường\s*"","""")"),"Phổ thông Nguyễn Mộng Tuân")</f>
        <v>Phổ thông Nguyễn Mộng Tuân</v>
      </c>
    </row>
    <row r="683">
      <c r="A683" s="1" t="s">
        <v>28</v>
      </c>
      <c r="B683" s="2" t="s">
        <v>30</v>
      </c>
      <c r="C683" s="2" t="s">
        <v>32</v>
      </c>
      <c r="E683" s="2" t="str">
        <f>IFERROR(__xludf.DUMMYFUNCTION("REGEXREPLACE(A683,""^Trường\s*"","""")"),"THCS&amp;THPT Thống nhất")</f>
        <v>THCS&amp;THPT Thống nhất</v>
      </c>
    </row>
    <row r="684">
      <c r="A684" s="1" t="s">
        <v>35</v>
      </c>
      <c r="B684" s="2" t="s">
        <v>36</v>
      </c>
      <c r="C684" s="2" t="s">
        <v>38</v>
      </c>
      <c r="E684" s="2" t="str">
        <f>IFERROR(__xludf.DUMMYFUNCTION("REGEXREPLACE(A684,""^Trường\s*"","""")"),"THCS&amp;THPT Bá Thước")</f>
        <v>THCS&amp;THPT Bá Thước</v>
      </c>
    </row>
    <row r="685">
      <c r="A685" s="1" t="s">
        <v>42</v>
      </c>
      <c r="B685" s="2" t="s">
        <v>44</v>
      </c>
      <c r="C685" s="2" t="s">
        <v>45</v>
      </c>
      <c r="E685" s="2" t="str">
        <f>IFERROR(__xludf.DUMMYFUNCTION("REGEXREPLACE(A685,""^Trường\s*"","""")"),"THCS&amp;THPT Nghi Sơn")</f>
        <v>THCS&amp;THPT Nghi Sơn</v>
      </c>
    </row>
    <row r="686">
      <c r="A686" s="1" t="s">
        <v>48</v>
      </c>
      <c r="B686" s="2" t="s">
        <v>50</v>
      </c>
      <c r="C686" s="2" t="s">
        <v>52</v>
      </c>
      <c r="E686" s="2" t="str">
        <f>IFERROR(__xludf.DUMMYFUNCTION("REGEXREPLACE(A686,""^Trường\s*"","""")"),"THCS&amp;THPT Quan Sơn")</f>
        <v>THCS&amp;THPT Quan Sơn</v>
      </c>
    </row>
    <row r="687">
      <c r="A687" s="1" t="s">
        <v>55</v>
      </c>
      <c r="B687" s="2" t="s">
        <v>57</v>
      </c>
      <c r="C687" s="2" t="s">
        <v>58</v>
      </c>
      <c r="E687" s="2" t="str">
        <f>IFERROR(__xludf.DUMMYFUNCTION("REGEXREPLACE(A687,""^Trường\s*"","""")"),"Phổ thông Triệu Sơn")</f>
        <v>Phổ thông Triệu Sơn</v>
      </c>
    </row>
    <row r="688">
      <c r="A688" s="11" t="s">
        <v>59</v>
      </c>
      <c r="B688" s="2" t="s">
        <v>62</v>
      </c>
      <c r="C688" s="2" t="s">
        <v>63</v>
      </c>
      <c r="E688" s="2" t="str">
        <f>IFERROR(__xludf.DUMMYFUNCTION("REGEXREPLACE(A688,""^Trường\s*"","""")"),"THCS&amp;THPT Như Thanh")</f>
        <v>THCS&amp;THPT Như Thanh</v>
      </c>
    </row>
    <row r="689">
      <c r="A689" s="11" t="s">
        <v>65</v>
      </c>
      <c r="B689" s="2" t="s">
        <v>66</v>
      </c>
      <c r="C689" s="2" t="s">
        <v>67</v>
      </c>
      <c r="E689" s="2" t="str">
        <f>IFERROR(__xludf.DUMMYFUNCTION("REGEXREPLACE(A689,""^Trường\s*"","""")"),"THCS&amp;THPT Như Xuân")</f>
        <v>THCS&amp;THPT Như Xuân</v>
      </c>
    </row>
    <row r="690">
      <c r="A690" s="1" t="s">
        <v>69</v>
      </c>
      <c r="B690" s="2" t="s">
        <v>71</v>
      </c>
      <c r="C690" s="2" t="s">
        <v>13</v>
      </c>
      <c r="E690" s="2" t="str">
        <f>IFERROR(__xludf.DUMMYFUNCTION("REGEXREPLACE(A690,""^Trường\s*"","""")"),"TH, THCS&amp;THPT Vinschool Star City")</f>
        <v>TH, THCS&amp;THPT Vinschool Star City</v>
      </c>
    </row>
    <row r="691">
      <c r="A691" s="1" t="s">
        <v>76</v>
      </c>
      <c r="B691" s="2" t="s">
        <v>77</v>
      </c>
      <c r="C691" s="2" t="s">
        <v>13</v>
      </c>
      <c r="E691" s="2" t="str">
        <f>IFERROR(__xludf.DUMMYFUNCTION("REGEXREPLACE(A691,""^Trường\s*"","""")"),"TH, THCS&amp;THPT Đông Bắc Ga")</f>
        <v>TH, THCS&amp;THPT Đông Bắc Ga</v>
      </c>
    </row>
    <row r="692">
      <c r="A692" s="1" t="s">
        <v>80</v>
      </c>
      <c r="B692" s="2" t="s">
        <v>82</v>
      </c>
      <c r="C692" s="2" t="s">
        <v>13</v>
      </c>
      <c r="E692" s="2" t="str">
        <f>IFERROR(__xludf.DUMMYFUNCTION("REGEXREPLACE(A692,""^Trường\s*"","""")"),"TH, THCS&amp;THPT Fansipan")</f>
        <v>TH, THCS&amp;THPT Fansipan</v>
      </c>
    </row>
    <row r="693">
      <c r="A693" s="1" t="s">
        <v>87</v>
      </c>
      <c r="B693" s="2" t="s">
        <v>89</v>
      </c>
      <c r="C693" s="2" t="s">
        <v>24</v>
      </c>
      <c r="E693" s="2" t="str">
        <f>IFERROR(__xludf.DUMMYFUNCTION("REGEXREPLACE(A693,""^Trường\s*"","""")"),"TH, THCS&amp;THPT QTHSCHOOL")</f>
        <v>TH, THCS&amp;THPT QTHSCHOOL</v>
      </c>
    </row>
    <row r="694">
      <c r="A694" s="1" t="s">
        <v>92</v>
      </c>
      <c r="B694" s="2" t="s">
        <v>94</v>
      </c>
      <c r="C694" s="2" t="s">
        <v>13</v>
      </c>
      <c r="E694" s="2" t="str">
        <f>IFERROR(__xludf.DUMMYFUNCTION("REGEXREPLACE(A694,""^Trường\s*"","""")"),"THCS Minh Khai")</f>
        <v>THCS Minh Khai</v>
      </c>
    </row>
    <row r="695">
      <c r="A695" s="1" t="s">
        <v>97</v>
      </c>
      <c r="B695" s="2" t="s">
        <v>99</v>
      </c>
      <c r="C695" s="2" t="s">
        <v>100</v>
      </c>
      <c r="E695" s="2" t="str">
        <f>IFERROR(__xludf.DUMMYFUNCTION("REGEXREPLACE(A695,""^Trường\s*"","""")"),"THCS Đông Cương")</f>
        <v>THCS Đông Cương</v>
      </c>
    </row>
    <row r="696">
      <c r="A696" s="1" t="s">
        <v>107</v>
      </c>
      <c r="B696" s="2" t="s">
        <v>108</v>
      </c>
      <c r="C696" s="2" t="s">
        <v>24</v>
      </c>
      <c r="E696" s="2" t="str">
        <f>IFERROR(__xludf.DUMMYFUNCTION("REGEXREPLACE(A696,""^Trường\s*"","""")"),"THCS Quảng Thành")</f>
        <v>THCS Quảng Thành</v>
      </c>
    </row>
    <row r="697">
      <c r="A697" s="1" t="s">
        <v>113</v>
      </c>
      <c r="B697" s="2" t="s">
        <v>115</v>
      </c>
      <c r="C697" s="2" t="s">
        <v>24</v>
      </c>
      <c r="E697" s="2" t="str">
        <f>IFERROR(__xludf.DUMMYFUNCTION("REGEXREPLACE(A697,""^Trường\s*"","""")"),"THCS Quảng Hưng")</f>
        <v>THCS Quảng Hưng</v>
      </c>
    </row>
    <row r="698">
      <c r="A698" s="1" t="s">
        <v>118</v>
      </c>
      <c r="B698" s="2" t="s">
        <v>120</v>
      </c>
      <c r="C698" s="2" t="s">
        <v>13</v>
      </c>
      <c r="E698" s="2" t="str">
        <f>IFERROR(__xludf.DUMMYFUNCTION("REGEXREPLACE(A698,""^Trường\s*"","""")"),"THCS Lý Tự Trọng")</f>
        <v>THCS Lý Tự Trọng</v>
      </c>
    </row>
    <row r="699">
      <c r="A699" s="1" t="s">
        <v>125</v>
      </c>
      <c r="B699" s="2" t="s">
        <v>126</v>
      </c>
      <c r="C699" s="2" t="s">
        <v>13</v>
      </c>
      <c r="E699" s="2" t="str">
        <f>IFERROR(__xludf.DUMMYFUNCTION("REGEXREPLACE(A699,""^Trường\s*"","""")"),"THCS Trần Mai Ninh")</f>
        <v>THCS Trần Mai Ninh</v>
      </c>
    </row>
    <row r="700">
      <c r="A700" s="1" t="s">
        <v>131</v>
      </c>
      <c r="B700" s="2" t="s">
        <v>132</v>
      </c>
      <c r="C700" s="2" t="s">
        <v>13</v>
      </c>
      <c r="E700" s="2" t="str">
        <f>IFERROR(__xludf.DUMMYFUNCTION("REGEXREPLACE(A700,""^Trường\s*"","""")"),"THCS Đông Hải")</f>
        <v>THCS Đông Hải</v>
      </c>
    </row>
    <row r="701">
      <c r="A701" s="1" t="s">
        <v>137</v>
      </c>
      <c r="B701" s="2" t="s">
        <v>139</v>
      </c>
      <c r="C701" s="2" t="s">
        <v>13</v>
      </c>
      <c r="E701" s="2" t="str">
        <f>IFERROR(__xludf.DUMMYFUNCTION("REGEXREPLACE(A701,""^Trường\s*"","""")"),"THCS Đông Hương")</f>
        <v>THCS Đông Hương</v>
      </c>
    </row>
    <row r="702">
      <c r="A702" s="1" t="s">
        <v>142</v>
      </c>
      <c r="B702" s="2" t="s">
        <v>144</v>
      </c>
      <c r="C702" s="2" t="s">
        <v>100</v>
      </c>
      <c r="E702" s="2" t="str">
        <f>IFERROR(__xludf.DUMMYFUNCTION("REGEXREPLACE(A702,""^Trường\s*"","""")"),"THCS Hàm Rồng")</f>
        <v>THCS Hàm Rồng</v>
      </c>
    </row>
    <row r="703">
      <c r="A703" s="1" t="s">
        <v>148</v>
      </c>
      <c r="B703" s="2" t="s">
        <v>149</v>
      </c>
      <c r="C703" s="2" t="s">
        <v>100</v>
      </c>
      <c r="E703" s="2" t="str">
        <f>IFERROR(__xludf.DUMMYFUNCTION("REGEXREPLACE(A703,""^Trường\s*"","""")"),"THCS Nam Ngạn")</f>
        <v>THCS Nam Ngạn</v>
      </c>
    </row>
    <row r="704">
      <c r="A704" s="1" t="s">
        <v>153</v>
      </c>
      <c r="B704" s="2" t="s">
        <v>155</v>
      </c>
      <c r="C704" s="2" t="s">
        <v>100</v>
      </c>
      <c r="E704" s="2" t="str">
        <f>IFERROR(__xludf.DUMMYFUNCTION("REGEXREPLACE(A704,""^Trường\s*"","""")"),"THCS Đông Thọ")</f>
        <v>THCS Đông Thọ</v>
      </c>
    </row>
    <row r="705">
      <c r="A705" s="1" t="s">
        <v>158</v>
      </c>
      <c r="B705" s="2" t="s">
        <v>159</v>
      </c>
      <c r="C705" s="2" t="s">
        <v>13</v>
      </c>
      <c r="E705" s="2" t="str">
        <f>IFERROR(__xludf.DUMMYFUNCTION("REGEXREPLACE(A705,""^Trường\s*"","""")"),"THCS Cù Chính Lan")</f>
        <v>THCS Cù Chính Lan</v>
      </c>
    </row>
    <row r="706">
      <c r="A706" s="1" t="s">
        <v>162</v>
      </c>
      <c r="B706" s="2" t="s">
        <v>163</v>
      </c>
      <c r="C706" s="2" t="s">
        <v>13</v>
      </c>
      <c r="E706" s="2" t="str">
        <f>IFERROR(__xludf.DUMMYFUNCTION("REGEXREPLACE(A706,""^Trường\s*"","""")"),"THCS Điện Biên")</f>
        <v>THCS Điện Biên</v>
      </c>
    </row>
    <row r="707">
      <c r="A707" s="1" t="s">
        <v>164</v>
      </c>
      <c r="B707" s="2" t="s">
        <v>166</v>
      </c>
      <c r="C707" s="2" t="s">
        <v>13</v>
      </c>
      <c r="E707" s="2" t="str">
        <f>IFERROR(__xludf.DUMMYFUNCTION("REGEXREPLACE(A707,""^Trường\s*"","""")"),"THCS Tân Sơn")</f>
        <v>THCS Tân Sơn</v>
      </c>
    </row>
    <row r="708">
      <c r="A708" s="1" t="s">
        <v>170</v>
      </c>
      <c r="B708" s="2" t="s">
        <v>171</v>
      </c>
      <c r="C708" s="2" t="s">
        <v>13</v>
      </c>
      <c r="E708" s="2" t="str">
        <f>IFERROR(__xludf.DUMMYFUNCTION("REGEXREPLACE(A708,""^Trường\s*"","""")"),"THCS Trần Phú")</f>
        <v>THCS Trần Phú</v>
      </c>
    </row>
    <row r="709">
      <c r="A709" s="1" t="s">
        <v>174</v>
      </c>
      <c r="B709" s="2" t="s">
        <v>175</v>
      </c>
      <c r="C709" s="2" t="s">
        <v>13</v>
      </c>
      <c r="E709" s="2" t="str">
        <f>IFERROR(__xludf.DUMMYFUNCTION("REGEXREPLACE(A709,""^Trường\s*"","""")"),"THCS Quang Trung")</f>
        <v>THCS Quang Trung</v>
      </c>
    </row>
    <row r="710">
      <c r="A710" s="1" t="s">
        <v>178</v>
      </c>
      <c r="B710" s="2" t="s">
        <v>180</v>
      </c>
      <c r="C710" s="2" t="s">
        <v>13</v>
      </c>
      <c r="E710" s="2" t="str">
        <f>IFERROR(__xludf.DUMMYFUNCTION("REGEXREPLACE(A710,""^Trường\s*"","""")"),"THCS Nguyễn Văn Trỗi")</f>
        <v>THCS Nguyễn Văn Trỗi</v>
      </c>
    </row>
    <row r="711">
      <c r="A711" s="1" t="s">
        <v>183</v>
      </c>
      <c r="B711" s="2" t="s">
        <v>184</v>
      </c>
      <c r="C711" s="2" t="s">
        <v>13</v>
      </c>
      <c r="E711" s="2" t="str">
        <f>IFERROR(__xludf.DUMMYFUNCTION("REGEXREPLACE(A711,""^Trường\s*"","""")"),"THCS Lê Lợi")</f>
        <v>THCS Lê Lợi</v>
      </c>
    </row>
    <row r="712">
      <c r="A712" s="1" t="s">
        <v>188</v>
      </c>
      <c r="B712" s="2" t="s">
        <v>190</v>
      </c>
      <c r="C712" s="2" t="s">
        <v>13</v>
      </c>
      <c r="E712" s="2" t="str">
        <f>IFERROR(__xludf.DUMMYFUNCTION("REGEXREPLACE(A712,""^Trường\s*"","""")"),"THCS Quảng Thắng")</f>
        <v>THCS Quảng Thắng</v>
      </c>
    </row>
    <row r="713">
      <c r="A713" s="1" t="s">
        <v>193</v>
      </c>
      <c r="B713" s="2" t="s">
        <v>194</v>
      </c>
      <c r="C713" s="2" t="s">
        <v>13</v>
      </c>
      <c r="E713" s="2" t="str">
        <f>IFERROR(__xludf.DUMMYFUNCTION("REGEXREPLACE(A713,""^Trường\s*"","""")"),"TH&amp;THCS Newton TH")</f>
        <v>TH&amp;THCS Newton TH</v>
      </c>
    </row>
    <row r="714">
      <c r="A714" s="1" t="s">
        <v>74</v>
      </c>
      <c r="B714" s="2" t="s">
        <v>75</v>
      </c>
      <c r="C714" s="2" t="s">
        <v>73</v>
      </c>
      <c r="E714" s="2" t="str">
        <f>IFERROR(__xludf.DUMMYFUNCTION("REGEXREPLACE(A714,""^Trường\s*"","""")"),"TH, THCS&amp;THPT Nobel")</f>
        <v>TH, THCS&amp;THPT Nobel</v>
      </c>
    </row>
    <row r="715">
      <c r="A715" s="1" t="s">
        <v>201</v>
      </c>
      <c r="B715" s="2" t="s">
        <v>202</v>
      </c>
      <c r="C715" s="2" t="s">
        <v>203</v>
      </c>
      <c r="E715" s="2" t="str">
        <f>IFERROR(__xludf.DUMMYFUNCTION("REGEXREPLACE(A715,""^Trường\s*"","""")"),"TH&amp;THCS Quang Trung")</f>
        <v>TH&amp;THCS Quang Trung</v>
      </c>
    </row>
    <row r="716">
      <c r="A716" s="1" t="s">
        <v>206</v>
      </c>
      <c r="B716" s="2" t="s">
        <v>208</v>
      </c>
      <c r="C716" s="2" t="s">
        <v>203</v>
      </c>
      <c r="E716" s="2" t="str">
        <f>IFERROR(__xludf.DUMMYFUNCTION("REGEXREPLACE(A716,""^Trường\s*"","""")"),"TH và THCS Phú Sơn")</f>
        <v>TH và THCS Phú Sơn</v>
      </c>
    </row>
    <row r="717">
      <c r="A717" s="1" t="s">
        <v>212</v>
      </c>
      <c r="B717" s="2" t="s">
        <v>213</v>
      </c>
      <c r="C717" s="2" t="s">
        <v>31</v>
      </c>
      <c r="E717" s="2" t="str">
        <f>IFERROR(__xludf.DUMMYFUNCTION("REGEXREPLACE(A717,""^Trường\s*"","""")"),"THCS Hà Lan")</f>
        <v>THCS Hà Lan</v>
      </c>
    </row>
    <row r="718">
      <c r="A718" s="1" t="s">
        <v>217</v>
      </c>
      <c r="B718" s="2" t="s">
        <v>219</v>
      </c>
      <c r="C718" s="2" t="s">
        <v>31</v>
      </c>
      <c r="E718" s="2" t="str">
        <f>IFERROR(__xludf.DUMMYFUNCTION("REGEXREPLACE(A718,""^Trường\s*"","""")"),"THCS Ba Đình")</f>
        <v>THCS Ba Đình</v>
      </c>
    </row>
    <row r="719">
      <c r="A719" s="1" t="s">
        <v>220</v>
      </c>
      <c r="B719" s="2" t="s">
        <v>221</v>
      </c>
      <c r="C719" s="2" t="s">
        <v>31</v>
      </c>
      <c r="E719" s="2" t="str">
        <f>IFERROR(__xludf.DUMMYFUNCTION("REGEXREPLACE(A719,""^Trường\s*"","""")"),"THCS Lê Quý Đôn")</f>
        <v>THCS Lê Quý Đôn</v>
      </c>
    </row>
    <row r="720">
      <c r="A720" s="1" t="s">
        <v>224</v>
      </c>
      <c r="B720" s="2" t="s">
        <v>225</v>
      </c>
      <c r="C720" s="2" t="s">
        <v>203</v>
      </c>
      <c r="E720" s="2" t="str">
        <f>IFERROR(__xludf.DUMMYFUNCTION("REGEXREPLACE(A720,""^Trường\s*"","""")"),"THCS Ngọc Trạo")</f>
        <v>THCS Ngọc Trạo</v>
      </c>
    </row>
    <row r="721">
      <c r="A721" s="1" t="s">
        <v>226</v>
      </c>
      <c r="B721" s="2" t="s">
        <v>227</v>
      </c>
      <c r="C721" s="2" t="s">
        <v>203</v>
      </c>
      <c r="E721" s="2" t="str">
        <f>IFERROR(__xludf.DUMMYFUNCTION("REGEXREPLACE(A721,""^Trường\s*"","""")"),"THCS Bắc Sơn")</f>
        <v>THCS Bắc Sơn</v>
      </c>
    </row>
    <row r="722">
      <c r="A722" s="1" t="s">
        <v>230</v>
      </c>
      <c r="B722" s="2" t="s">
        <v>232</v>
      </c>
      <c r="C722" s="2" t="s">
        <v>31</v>
      </c>
      <c r="E722" s="2" t="str">
        <f>IFERROR(__xludf.DUMMYFUNCTION("REGEXREPLACE(A722,""^Trường\s*"","""")"),"THCS Xi Măng")</f>
        <v>THCS Xi Măng</v>
      </c>
    </row>
    <row r="723">
      <c r="A723" s="1" t="s">
        <v>235</v>
      </c>
      <c r="B723" s="2" t="s">
        <v>236</v>
      </c>
      <c r="C723" s="2" t="s">
        <v>238</v>
      </c>
      <c r="E723" s="2" t="str">
        <f>IFERROR(__xludf.DUMMYFUNCTION("REGEXREPLACE(A723,""^Trường\s*"","""")"),"THCS Trường Sơn")</f>
        <v>THCS Trường Sơn</v>
      </c>
    </row>
    <row r="724">
      <c r="A724" s="1" t="s">
        <v>241</v>
      </c>
      <c r="B724" s="2" t="s">
        <v>243</v>
      </c>
      <c r="C724" s="2" t="s">
        <v>238</v>
      </c>
      <c r="E724" s="2" t="str">
        <f>IFERROR(__xludf.DUMMYFUNCTION("REGEXREPLACE(A724,""^Trường\s*"","""")"),"THCS Bắc Sơn Sầm Sơn")</f>
        <v>THCS Bắc Sơn Sầm Sơn</v>
      </c>
    </row>
    <row r="725">
      <c r="A725" s="1" t="s">
        <v>247</v>
      </c>
      <c r="B725" s="2" t="s">
        <v>248</v>
      </c>
      <c r="C725" s="2" t="s">
        <v>238</v>
      </c>
      <c r="E725" s="2" t="str">
        <f>IFERROR(__xludf.DUMMYFUNCTION("REGEXREPLACE(A725,""^Trường\s*"","""")"),"THCS Trung Sơn")</f>
        <v>THCS Trung Sơn</v>
      </c>
    </row>
    <row r="726">
      <c r="A726" s="1" t="s">
        <v>251</v>
      </c>
      <c r="B726" s="2" t="s">
        <v>252</v>
      </c>
      <c r="C726" s="2" t="s">
        <v>238</v>
      </c>
      <c r="E726" s="2" t="str">
        <f>IFERROR(__xludf.DUMMYFUNCTION("REGEXREPLACE(A726,""^Trường\s*"","""")"),"THCS Quảng Tiến")</f>
        <v>THCS Quảng Tiến</v>
      </c>
    </row>
    <row r="727">
      <c r="A727" s="1" t="s">
        <v>254</v>
      </c>
      <c r="B727" s="2" t="s">
        <v>255</v>
      </c>
      <c r="C727" s="2" t="s">
        <v>238</v>
      </c>
      <c r="E727" s="2" t="str">
        <f>IFERROR(__xludf.DUMMYFUNCTION("REGEXREPLACE(A727,""^Trường\s*"","""")"),"THCS Quảng Cư")</f>
        <v>THCS Quảng Cư</v>
      </c>
    </row>
    <row r="728">
      <c r="A728" s="1" t="s">
        <v>258</v>
      </c>
      <c r="B728" s="2" t="s">
        <v>260</v>
      </c>
      <c r="C728" s="2" t="s">
        <v>238</v>
      </c>
      <c r="E728" s="2" t="str">
        <f>IFERROR(__xludf.DUMMYFUNCTION("REGEXREPLACE(A728,""^Trường\s*"","""")"),"THCS Nguyễn Hồng Lễ")</f>
        <v>THCS Nguyễn Hồng Lễ</v>
      </c>
    </row>
    <row r="729">
      <c r="A729" s="1" t="s">
        <v>264</v>
      </c>
      <c r="B729" s="2" t="s">
        <v>265</v>
      </c>
      <c r="C729" s="2" t="s">
        <v>268</v>
      </c>
      <c r="E729" s="2" t="str">
        <f>IFERROR(__xludf.DUMMYFUNCTION("REGEXREPLACE(A729,""^Trường\s*"","""")"),"TH và THCS Mường Lát")</f>
        <v>TH và THCS Mường Lát</v>
      </c>
    </row>
    <row r="730">
      <c r="A730" s="1" t="s">
        <v>271</v>
      </c>
      <c r="B730" s="2" t="s">
        <v>272</v>
      </c>
      <c r="C730" s="2" t="s">
        <v>273</v>
      </c>
      <c r="E730" s="2" t="str">
        <f>IFERROR(__xludf.DUMMYFUNCTION("REGEXREPLACE(A730,""^Trường\s*"","""")"),"PTDTBT THCS Pù Nhi")</f>
        <v>PTDTBT THCS Pù Nhi</v>
      </c>
    </row>
    <row r="731">
      <c r="A731" s="1" t="s">
        <v>277</v>
      </c>
      <c r="B731" s="2" t="s">
        <v>280</v>
      </c>
      <c r="C731" s="2" t="s">
        <v>282</v>
      </c>
      <c r="E731" s="2" t="str">
        <f>IFERROR(__xludf.DUMMYFUNCTION("REGEXREPLACE(A731,""^Trường\s*"","""")"),"phổ thông DTBT THCS Tam Chung")</f>
        <v>phổ thông DTBT THCS Tam Chung</v>
      </c>
    </row>
    <row r="732">
      <c r="A732" s="1" t="s">
        <v>286</v>
      </c>
      <c r="B732" s="2" t="s">
        <v>288</v>
      </c>
      <c r="C732" s="2" t="s">
        <v>268</v>
      </c>
      <c r="E732" s="2" t="str">
        <f>IFERROR(__xludf.DUMMYFUNCTION("REGEXREPLACE(A732,""^Trường\s*"","""")"),"THCS Tén Tằn")</f>
        <v>THCS Tén Tằn</v>
      </c>
    </row>
    <row r="733">
      <c r="A733" s="1" t="s">
        <v>292</v>
      </c>
      <c r="B733" s="2" t="s">
        <v>294</v>
      </c>
      <c r="C733" s="2" t="s">
        <v>296</v>
      </c>
      <c r="E733" s="2" t="str">
        <f>IFERROR(__xludf.DUMMYFUNCTION("REGEXREPLACE(A733,""^Trường\s*"","""")"),"THCS Quang Chiểu")</f>
        <v>THCS Quang Chiểu</v>
      </c>
    </row>
    <row r="734">
      <c r="A734" s="1" t="s">
        <v>299</v>
      </c>
      <c r="B734" s="2" t="s">
        <v>300</v>
      </c>
      <c r="C734" s="2" t="s">
        <v>302</v>
      </c>
      <c r="E734" s="2" t="str">
        <f>IFERROR(__xludf.DUMMYFUNCTION("REGEXREPLACE(A734,""^Trường\s*"","""")"),"THCS Mường Chanh")</f>
        <v>THCS Mường Chanh</v>
      </c>
    </row>
    <row r="735">
      <c r="A735" s="1" t="s">
        <v>306</v>
      </c>
      <c r="B735" s="2" t="s">
        <v>308</v>
      </c>
      <c r="C735" s="2" t="s">
        <v>310</v>
      </c>
      <c r="E735" s="2" t="str">
        <f>IFERROR(__xludf.DUMMYFUNCTION("REGEXREPLACE(A735,""^Trường\s*"","""")"),"PT DTBT THCS Trung Lý")</f>
        <v>PT DTBT THCS Trung Lý</v>
      </c>
    </row>
    <row r="736">
      <c r="A736" s="1" t="s">
        <v>313</v>
      </c>
      <c r="B736" s="2" t="s">
        <v>314</v>
      </c>
      <c r="C736" s="2" t="s">
        <v>318</v>
      </c>
      <c r="E736" s="2" t="str">
        <f>IFERROR(__xludf.DUMMYFUNCTION("REGEXREPLACE(A736,""^Trường\s*"","""")"),"PTDT Bán Trú THCS Mường Lý")</f>
        <v>PTDT Bán Trú THCS Mường Lý</v>
      </c>
    </row>
    <row r="737">
      <c r="A737" s="1" t="s">
        <v>322</v>
      </c>
      <c r="B737" s="2" t="s">
        <v>324</v>
      </c>
      <c r="C737" s="2" t="s">
        <v>325</v>
      </c>
      <c r="E737" s="2" t="str">
        <f>IFERROR(__xludf.DUMMYFUNCTION("REGEXREPLACE(A737,""^Trường\s*"","""")"),"THCS Nhi Sơn")</f>
        <v>THCS Nhi Sơn</v>
      </c>
    </row>
    <row r="738">
      <c r="A738" s="11" t="s">
        <v>328</v>
      </c>
      <c r="B738" s="2" t="s">
        <v>331</v>
      </c>
      <c r="C738" s="2" t="s">
        <v>268</v>
      </c>
      <c r="E738" s="2" t="str">
        <f>IFERROR(__xludf.DUMMYFUNCTION("REGEXREPLACE(A738,""^Trường\s*"","""")"),"PT DTNT THCS Mường Lát")</f>
        <v>PT DTNT THCS Mường Lát</v>
      </c>
    </row>
    <row r="739">
      <c r="A739" s="1" t="s">
        <v>336</v>
      </c>
      <c r="B739" s="2" t="s">
        <v>337</v>
      </c>
      <c r="C739" s="2" t="s">
        <v>338</v>
      </c>
      <c r="E739" s="2" t="str">
        <f>IFERROR(__xludf.DUMMYFUNCTION("REGEXREPLACE(A739,""^Trường\s*"","""")"),"THCS Thành Sơn")</f>
        <v>THCS Thành Sơn</v>
      </c>
    </row>
    <row r="740">
      <c r="A740" s="1" t="s">
        <v>343</v>
      </c>
      <c r="B740" s="2" t="s">
        <v>344</v>
      </c>
      <c r="C740" s="2" t="s">
        <v>346</v>
      </c>
      <c r="E740" s="2" t="str">
        <f>IFERROR(__xludf.DUMMYFUNCTION("REGEXREPLACE(A740,""^Trường\s*"","""")"),"THCS Phú Thanh")</f>
        <v>THCS Phú Thanh</v>
      </c>
    </row>
    <row r="741">
      <c r="A741" s="1" t="s">
        <v>349</v>
      </c>
      <c r="B741" s="2" t="s">
        <v>352</v>
      </c>
      <c r="C741" s="2" t="s">
        <v>354</v>
      </c>
      <c r="E741" s="2" t="str">
        <f>IFERROR(__xludf.DUMMYFUNCTION("REGEXREPLACE(A741,""^Trường\s*"","""")"),"THCS Nam Tiến")</f>
        <v>THCS Nam Tiến</v>
      </c>
    </row>
    <row r="742">
      <c r="A742" s="1" t="s">
        <v>357</v>
      </c>
      <c r="B742" s="2" t="s">
        <v>360</v>
      </c>
      <c r="C742" s="2" t="s">
        <v>363</v>
      </c>
      <c r="E742" s="2" t="str">
        <f>IFERROR(__xludf.DUMMYFUNCTION("REGEXREPLACE(A742,""^Trường\s*"","""")"),"THCS Hiền Kiệt")</f>
        <v>THCS Hiền Kiệt</v>
      </c>
    </row>
    <row r="743">
      <c r="A743" s="1" t="s">
        <v>364</v>
      </c>
      <c r="B743" s="2" t="s">
        <v>367</v>
      </c>
      <c r="C743" s="2" t="s">
        <v>363</v>
      </c>
      <c r="E743" s="2" t="str">
        <f>IFERROR(__xludf.DUMMYFUNCTION("REGEXREPLACE(A743,""^Trường\s*"","""")"),"THCS Hiền Chung")</f>
        <v>THCS Hiền Chung</v>
      </c>
    </row>
    <row r="744">
      <c r="A744" s="1" t="s">
        <v>373</v>
      </c>
      <c r="B744" s="2" t="s">
        <v>375</v>
      </c>
      <c r="C744" s="2" t="s">
        <v>378</v>
      </c>
      <c r="E744" s="2" t="str">
        <f>IFERROR(__xludf.DUMMYFUNCTION("REGEXREPLACE(A744,""^Trường\s*"","""")"),"THCS Nam Động")</f>
        <v>THCS Nam Động</v>
      </c>
    </row>
    <row r="745">
      <c r="A745" s="1" t="s">
        <v>381</v>
      </c>
      <c r="B745" s="2" t="s">
        <v>383</v>
      </c>
      <c r="C745" s="2" t="s">
        <v>386</v>
      </c>
      <c r="E745" s="2" t="str">
        <f>IFERROR(__xludf.DUMMYFUNCTION("REGEXREPLACE(A745,""^Trường\s*"","""")"),"THCS Hồi Xuân")</f>
        <v>THCS Hồi Xuân</v>
      </c>
    </row>
    <row r="746">
      <c r="A746" s="1" t="s">
        <v>392</v>
      </c>
      <c r="B746" s="2" t="s">
        <v>394</v>
      </c>
      <c r="C746" s="2" t="s">
        <v>354</v>
      </c>
      <c r="E746" s="2" t="str">
        <f>IFERROR(__xludf.DUMMYFUNCTION("REGEXREPLACE(A746,""^Trường\s*"","""")"),"THCS Nam Xuân")</f>
        <v>THCS Nam Xuân</v>
      </c>
    </row>
    <row r="747">
      <c r="A747" s="1" t="s">
        <v>400</v>
      </c>
      <c r="B747" s="2" t="s">
        <v>403</v>
      </c>
      <c r="C747" s="2" t="s">
        <v>386</v>
      </c>
      <c r="E747" s="2" t="str">
        <f>IFERROR(__xludf.DUMMYFUNCTION("REGEXREPLACE(A747,""^Trường\s*"","""")"),"PT DTNT THCS Quan Hóa")</f>
        <v>PT DTNT THCS Quan Hóa</v>
      </c>
    </row>
    <row r="748">
      <c r="A748" s="1" t="s">
        <v>406</v>
      </c>
      <c r="B748" s="2" t="s">
        <v>408</v>
      </c>
      <c r="C748" s="2" t="s">
        <v>386</v>
      </c>
      <c r="E748" s="2" t="str">
        <f>IFERROR(__xludf.DUMMYFUNCTION("REGEXREPLACE(A748,""^Trường\s*"","""")"),"THCS Quan Hoá")</f>
        <v>THCS Quan Hoá</v>
      </c>
    </row>
    <row r="749">
      <c r="A749" s="1" t="s">
        <v>415</v>
      </c>
      <c r="B749" s="2" t="s">
        <v>416</v>
      </c>
      <c r="C749" s="2" t="s">
        <v>346</v>
      </c>
      <c r="E749" s="2" t="str">
        <f>IFERROR(__xludf.DUMMYFUNCTION("REGEXREPLACE(A749,""^Trường\s*"","""")"),"THCS Phú Sơn")</f>
        <v>THCS Phú Sơn</v>
      </c>
    </row>
    <row r="750">
      <c r="A750" s="1" t="s">
        <v>417</v>
      </c>
      <c r="B750" s="2" t="s">
        <v>419</v>
      </c>
      <c r="C750" s="2" t="s">
        <v>421</v>
      </c>
      <c r="E750" s="2" t="str">
        <f>IFERROR(__xludf.DUMMYFUNCTION("REGEXREPLACE(A750,""^Trường\s*"","""")"),"PT Dân Tộc Bán Trú THCS Phú Xuân")</f>
        <v>PT Dân Tộc Bán Trú THCS Phú Xuân</v>
      </c>
    </row>
    <row r="751">
      <c r="A751" s="1" t="s">
        <v>424</v>
      </c>
      <c r="B751" s="2" t="s">
        <v>426</v>
      </c>
      <c r="C751" s="2" t="s">
        <v>338</v>
      </c>
      <c r="E751" s="2" t="str">
        <f>IFERROR(__xludf.DUMMYFUNCTION("REGEXREPLACE(A751,""^Trường\s*"","""")"),"THCS Trung Thành")</f>
        <v>THCS Trung Thành</v>
      </c>
    </row>
    <row r="752">
      <c r="A752" s="1" t="s">
        <v>247</v>
      </c>
      <c r="B752" s="2" t="s">
        <v>432</v>
      </c>
      <c r="C752" s="2" t="s">
        <v>435</v>
      </c>
      <c r="E752" s="2" t="str">
        <f>IFERROR(__xludf.DUMMYFUNCTION("REGEXREPLACE(A752,""^Trường\s*"","""")"),"THCS Trung Sơn")</f>
        <v>THCS Trung Sơn</v>
      </c>
    </row>
    <row r="753">
      <c r="A753" s="1" t="s">
        <v>439</v>
      </c>
      <c r="B753" s="2" t="s">
        <v>440</v>
      </c>
      <c r="C753" s="2" t="s">
        <v>38</v>
      </c>
      <c r="E753" s="2" t="str">
        <f>IFERROR(__xludf.DUMMYFUNCTION("REGEXREPLACE(A753,""^Trường\s*"","""")"),"THCS Thành Lâm")</f>
        <v>THCS Thành Lâm</v>
      </c>
    </row>
    <row r="754">
      <c r="A754" s="1" t="s">
        <v>445</v>
      </c>
      <c r="B754" s="2" t="s">
        <v>446</v>
      </c>
      <c r="C754" s="2" t="s">
        <v>448</v>
      </c>
      <c r="E754" s="2" t="str">
        <f>IFERROR(__xludf.DUMMYFUNCTION("REGEXREPLACE(A754,""^Trường\s*"","""")"),"THCS Bùi Xuân Chúc")</f>
        <v>THCS Bùi Xuân Chúc</v>
      </c>
    </row>
    <row r="755">
      <c r="A755" s="1" t="s">
        <v>453</v>
      </c>
      <c r="B755" s="2" t="s">
        <v>455</v>
      </c>
      <c r="C755" s="2" t="s">
        <v>457</v>
      </c>
      <c r="E755" s="2" t="str">
        <f>IFERROR(__xludf.DUMMYFUNCTION("REGEXREPLACE(A755,""^Trường\s*"","""")"),"THCS Văn Nho")</f>
        <v>THCS Văn Nho</v>
      </c>
    </row>
    <row r="756">
      <c r="A756" s="1" t="s">
        <v>461</v>
      </c>
      <c r="B756" s="2" t="s">
        <v>463</v>
      </c>
      <c r="C756" s="2" t="s">
        <v>448</v>
      </c>
      <c r="E756" s="2" t="str">
        <f>IFERROR(__xludf.DUMMYFUNCTION("REGEXREPLACE(A756,""^Trường\s*"","""")"),"THCS Điền Thượng")</f>
        <v>THCS Điền Thượng</v>
      </c>
    </row>
    <row r="757">
      <c r="A757" s="1" t="s">
        <v>470</v>
      </c>
      <c r="B757" s="2" t="s">
        <v>472</v>
      </c>
      <c r="C757" s="2" t="s">
        <v>474</v>
      </c>
      <c r="E757" s="2" t="str">
        <f>IFERROR(__xludf.DUMMYFUNCTION("REGEXREPLACE(A757,""^Trường\s*"","""")"),"THCS Lũng Cao")</f>
        <v>THCS Lũng Cao</v>
      </c>
    </row>
    <row r="758">
      <c r="A758" s="1" t="s">
        <v>480</v>
      </c>
      <c r="B758" s="2" t="s">
        <v>481</v>
      </c>
      <c r="C758" s="2" t="s">
        <v>474</v>
      </c>
      <c r="E758" s="2" t="str">
        <f>IFERROR(__xludf.DUMMYFUNCTION("REGEXREPLACE(A758,""^Trường\s*"","""")"),"THCS Cổ Lũng")</f>
        <v>THCS Cổ Lũng</v>
      </c>
    </row>
    <row r="759">
      <c r="A759" s="1" t="s">
        <v>488</v>
      </c>
      <c r="B759" s="2" t="s">
        <v>489</v>
      </c>
      <c r="C759" s="2" t="s">
        <v>457</v>
      </c>
      <c r="E759" s="2" t="str">
        <f>IFERROR(__xludf.DUMMYFUNCTION("REGEXREPLACE(A759,""^Trường\s*"","""")"),"THCS Kỳ Tân")</f>
        <v>THCS Kỳ Tân</v>
      </c>
    </row>
    <row r="760">
      <c r="A760" s="1" t="s">
        <v>496</v>
      </c>
      <c r="B760" s="2" t="s">
        <v>498</v>
      </c>
      <c r="C760" s="2" t="s">
        <v>499</v>
      </c>
      <c r="E760" s="2" t="str">
        <f>IFERROR(__xludf.DUMMYFUNCTION("REGEXREPLACE(A760,""^Trường\s*"","""")"),"THCS Thiết Kế")</f>
        <v>THCS Thiết Kế</v>
      </c>
    </row>
    <row r="761">
      <c r="A761" s="1" t="s">
        <v>504</v>
      </c>
      <c r="B761" s="2" t="s">
        <v>507</v>
      </c>
      <c r="C761" s="2" t="s">
        <v>509</v>
      </c>
      <c r="E761" s="2" t="str">
        <f>IFERROR(__xludf.DUMMYFUNCTION("REGEXREPLACE(A761,""^Trường\s*"","""")"),"THCS Điền Trung")</f>
        <v>THCS Điền Trung</v>
      </c>
    </row>
    <row r="762">
      <c r="A762" s="1" t="s">
        <v>513</v>
      </c>
      <c r="B762" s="2" t="s">
        <v>515</v>
      </c>
      <c r="C762" s="2" t="s">
        <v>516</v>
      </c>
      <c r="E762" s="2" t="str">
        <f>IFERROR(__xludf.DUMMYFUNCTION("REGEXREPLACE(A762,""^Trường\s*"","""")"),"THCS Lương Nội")</f>
        <v>THCS Lương Nội</v>
      </c>
    </row>
    <row r="763">
      <c r="A763" s="1" t="s">
        <v>531</v>
      </c>
      <c r="B763" s="2" t="s">
        <v>532</v>
      </c>
      <c r="C763" s="2" t="s">
        <v>509</v>
      </c>
      <c r="E763" s="2" t="str">
        <f>IFERROR(__xludf.DUMMYFUNCTION("REGEXREPLACE(A763,""^Trường\s*"","""")"),"THCS Ái Thượng")</f>
        <v>THCS Ái Thượng</v>
      </c>
    </row>
    <row r="764">
      <c r="A764" s="1" t="s">
        <v>542</v>
      </c>
      <c r="B764" s="2" t="s">
        <v>544</v>
      </c>
      <c r="C764" s="2" t="s">
        <v>448</v>
      </c>
      <c r="E764" s="2" t="str">
        <f>IFERROR(__xludf.DUMMYFUNCTION("REGEXREPLACE(A764,""^Trường\s*"","""")"),"THCS Điền Hạ")</f>
        <v>THCS Điền Hạ</v>
      </c>
    </row>
    <row r="765">
      <c r="A765" s="1" t="s">
        <v>548</v>
      </c>
      <c r="B765" s="2" t="s">
        <v>549</v>
      </c>
      <c r="C765" s="2" t="s">
        <v>550</v>
      </c>
      <c r="E765" s="2" t="str">
        <f>IFERROR(__xludf.DUMMYFUNCTION("REGEXREPLACE(A765,""^Trường\s*"","""")"),"THCS Tân Lập")</f>
        <v>THCS Tân Lập</v>
      </c>
    </row>
    <row r="766">
      <c r="A766" s="1" t="s">
        <v>553</v>
      </c>
      <c r="B766" s="2" t="s">
        <v>556</v>
      </c>
      <c r="C766" s="2" t="s">
        <v>516</v>
      </c>
      <c r="E766" s="2" t="str">
        <f>IFERROR(__xludf.DUMMYFUNCTION("REGEXREPLACE(A766,""^Trường\s*"","""")"),"THCS Lương Ngoại")</f>
        <v>THCS Lương Ngoại</v>
      </c>
    </row>
    <row r="767">
      <c r="A767" s="1" t="s">
        <v>560</v>
      </c>
      <c r="B767" s="2" t="s">
        <v>564</v>
      </c>
      <c r="C767" s="2" t="s">
        <v>550</v>
      </c>
      <c r="E767" s="2" t="str">
        <f>IFERROR(__xludf.DUMMYFUNCTION("REGEXREPLACE(A767,""^Trường\s*"","""")"),"THCS Hạ Trung")</f>
        <v>THCS Hạ Trung</v>
      </c>
    </row>
    <row r="768">
      <c r="A768" s="1" t="s">
        <v>569</v>
      </c>
      <c r="B768" s="2" t="s">
        <v>571</v>
      </c>
      <c r="C768" s="2" t="s">
        <v>516</v>
      </c>
      <c r="E768" s="2" t="str">
        <f>IFERROR(__xludf.DUMMYFUNCTION("REGEXREPLACE(A768,""^Trường\s*"","""")"),"THCS Lương Trung")</f>
        <v>THCS Lương Trung</v>
      </c>
    </row>
    <row r="769">
      <c r="A769" s="1" t="s">
        <v>578</v>
      </c>
      <c r="B769" s="2" t="s">
        <v>580</v>
      </c>
      <c r="C769" s="2" t="s">
        <v>509</v>
      </c>
      <c r="E769" s="2" t="str">
        <f>IFERROR(__xludf.DUMMYFUNCTION("REGEXREPLACE(A769,""^Trường\s*"","""")"),"THCS Điền Lư")</f>
        <v>THCS Điền Lư</v>
      </c>
    </row>
    <row r="770">
      <c r="A770" s="1" t="s">
        <v>586</v>
      </c>
      <c r="B770" s="2" t="s">
        <v>587</v>
      </c>
      <c r="C770" s="2" t="s">
        <v>550</v>
      </c>
      <c r="E770" s="2" t="str">
        <f>IFERROR(__xludf.DUMMYFUNCTION("REGEXREPLACE(A770,""^Trường\s*"","""")"),"THCS Ban Công")</f>
        <v>THCS Ban Công</v>
      </c>
    </row>
    <row r="771">
      <c r="A771" s="1" t="s">
        <v>592</v>
      </c>
      <c r="B771" s="2" t="s">
        <v>594</v>
      </c>
      <c r="C771" s="2" t="s">
        <v>499</v>
      </c>
      <c r="E771" s="2" t="str">
        <f>IFERROR(__xludf.DUMMYFUNCTION("REGEXREPLACE(A771,""^Trường\s*"","""")"),"THCS Thiết Ống")</f>
        <v>THCS Thiết Ống</v>
      </c>
    </row>
    <row r="772">
      <c r="A772" s="1" t="s">
        <v>598</v>
      </c>
      <c r="B772" s="2" t="s">
        <v>600</v>
      </c>
      <c r="C772" s="2" t="s">
        <v>38</v>
      </c>
      <c r="E772" s="2" t="str">
        <f>IFERROR(__xludf.DUMMYFUNCTION("REGEXREPLACE(A772,""^Trường\s*"","""")"),"TH&amp;THCS Thành Sơn")</f>
        <v>TH&amp;THCS Thành Sơn</v>
      </c>
    </row>
    <row r="773">
      <c r="A773" s="1" t="s">
        <v>603</v>
      </c>
      <c r="B773" s="2" t="s">
        <v>604</v>
      </c>
      <c r="C773" s="2" t="s">
        <v>550</v>
      </c>
      <c r="E773" s="2" t="str">
        <f>IFERROR(__xludf.DUMMYFUNCTION("REGEXREPLACE(A773,""^Trường\s*"","""")"),"THCS Cành Nàng")</f>
        <v>THCS Cành Nàng</v>
      </c>
    </row>
    <row r="774">
      <c r="A774" s="1" t="s">
        <v>607</v>
      </c>
      <c r="B774" s="2" t="s">
        <v>608</v>
      </c>
      <c r="C774" s="2" t="s">
        <v>550</v>
      </c>
      <c r="E774" s="2" t="str">
        <f>IFERROR(__xludf.DUMMYFUNCTION("REGEXREPLACE(A774,""^Trường\s*"","""")"),"THCS Lâm Xa")</f>
        <v>THCS Lâm Xa</v>
      </c>
    </row>
    <row r="775">
      <c r="A775" s="1" t="s">
        <v>611</v>
      </c>
      <c r="B775" s="2" t="s">
        <v>612</v>
      </c>
      <c r="C775" s="2" t="s">
        <v>474</v>
      </c>
      <c r="E775" s="2" t="str">
        <f>IFERROR(__xludf.DUMMYFUNCTION("REGEXREPLACE(A775,""^Trường\s*"","""")"),"TH&amp;THCS Cao Sơn")</f>
        <v>TH&amp;THCS Cao Sơn</v>
      </c>
    </row>
    <row r="776">
      <c r="A776" s="11" t="s">
        <v>616</v>
      </c>
      <c r="B776" s="2" t="s">
        <v>617</v>
      </c>
      <c r="C776" s="2" t="s">
        <v>550</v>
      </c>
      <c r="E776" s="2" t="str">
        <f>IFERROR(__xludf.DUMMYFUNCTION("REGEXREPLACE(A776,""^Trường\s*"","""")"),"phổ thông DTNT THCS Bá Thước")</f>
        <v>phổ thông DTNT THCS Bá Thước</v>
      </c>
    </row>
    <row r="777">
      <c r="A777" s="1" t="s">
        <v>618</v>
      </c>
      <c r="B777" s="2" t="s">
        <v>620</v>
      </c>
      <c r="C777" s="2" t="s">
        <v>621</v>
      </c>
      <c r="E777" s="2" t="str">
        <f>IFERROR(__xludf.DUMMYFUNCTION("REGEXREPLACE(A777,""^Trường\s*"","""")"),"THamp;THCS Sơn Lư")</f>
        <v>THamp;THCS Sơn Lư</v>
      </c>
    </row>
    <row r="778">
      <c r="A778" s="1" t="s">
        <v>626</v>
      </c>
      <c r="B778" s="2" t="s">
        <v>627</v>
      </c>
      <c r="C778" s="2" t="s">
        <v>628</v>
      </c>
      <c r="E778" s="2" t="str">
        <f>IFERROR(__xludf.DUMMYFUNCTION("REGEXREPLACE(A778,""^Trường\s*"","""")"),"TH amp; THCS Trung Xuân")</f>
        <v>TH amp; THCS Trung Xuân</v>
      </c>
    </row>
    <row r="779">
      <c r="A779" s="1" t="s">
        <v>634</v>
      </c>
      <c r="B779" s="2" t="s">
        <v>635</v>
      </c>
      <c r="C779" s="2" t="s">
        <v>628</v>
      </c>
      <c r="E779" s="2" t="str">
        <f>IFERROR(__xludf.DUMMYFUNCTION("REGEXREPLACE(A779,""^Trường\s*"","""")"),"THCS Trung Hạ")</f>
        <v>THCS Trung Hạ</v>
      </c>
    </row>
    <row r="780">
      <c r="A780" s="1" t="s">
        <v>640</v>
      </c>
      <c r="B780" s="2" t="s">
        <v>643</v>
      </c>
      <c r="C780" s="2" t="s">
        <v>621</v>
      </c>
      <c r="E780" s="2" t="str">
        <f>IFERROR(__xludf.DUMMYFUNCTION("REGEXREPLACE(A780,""^Trường\s*"","""")"),"THCS Trung Thượng")</f>
        <v>THCS Trung Thượng</v>
      </c>
    </row>
    <row r="781">
      <c r="A781" s="1" t="s">
        <v>648</v>
      </c>
      <c r="B781" s="2" t="s">
        <v>651</v>
      </c>
      <c r="C781" s="2" t="s">
        <v>621</v>
      </c>
      <c r="E781" s="2" t="str">
        <f>IFERROR(__xludf.DUMMYFUNCTION("REGEXREPLACE(A781,""^Trường\s*"","""")"),"THCS Sơn Lư")</f>
        <v>THCS Sơn Lư</v>
      </c>
    </row>
    <row r="782">
      <c r="A782" s="1" t="s">
        <v>657</v>
      </c>
      <c r="B782" s="2" t="s">
        <v>659</v>
      </c>
      <c r="C782" s="2" t="s">
        <v>661</v>
      </c>
      <c r="E782" s="2" t="str">
        <f>IFERROR(__xludf.DUMMYFUNCTION("REGEXREPLACE(A782,""^Trường\s*"","""")"),"THCS Sơn Hà")</f>
        <v>THCS Sơn Hà</v>
      </c>
    </row>
    <row r="783">
      <c r="A783" s="1" t="s">
        <v>664</v>
      </c>
      <c r="B783" s="2" t="s">
        <v>667</v>
      </c>
      <c r="C783" s="2" t="s">
        <v>661</v>
      </c>
      <c r="E783" s="2" t="str">
        <f>IFERROR(__xludf.DUMMYFUNCTION("REGEXREPLACE(A783,""^Trường\s*"","""")"),"THCS Tam Lư")</f>
        <v>THCS Tam Lư</v>
      </c>
    </row>
    <row r="784">
      <c r="A784" s="1" t="s">
        <v>671</v>
      </c>
      <c r="B784" s="2" t="s">
        <v>673</v>
      </c>
      <c r="C784" s="2" t="s">
        <v>675</v>
      </c>
      <c r="E784" s="2" t="str">
        <f>IFERROR(__xludf.DUMMYFUNCTION("REGEXREPLACE(A784,""^Trường\s*"","""")"),"THCS Tam Thanh")</f>
        <v>THCS Tam Thanh</v>
      </c>
    </row>
    <row r="785">
      <c r="A785" s="1" t="s">
        <v>681</v>
      </c>
      <c r="B785" s="2" t="s">
        <v>682</v>
      </c>
      <c r="C785" s="2" t="s">
        <v>684</v>
      </c>
      <c r="E785" s="2" t="str">
        <f>IFERROR(__xludf.DUMMYFUNCTION("REGEXREPLACE(A785,""^Trường\s*"","""")"),"THCS Sơn Điện")</f>
        <v>THCS Sơn Điện</v>
      </c>
    </row>
    <row r="786">
      <c r="A786" s="1" t="s">
        <v>688</v>
      </c>
      <c r="B786" s="2" t="s">
        <v>690</v>
      </c>
      <c r="C786" s="2" t="s">
        <v>693</v>
      </c>
      <c r="E786" s="2" t="str">
        <f>IFERROR(__xludf.DUMMYFUNCTION("REGEXREPLACE(A786,""^Trường\s*"","""")"),"PT DTBT THCS Sơn Thủy")</f>
        <v>PT DTBT THCS Sơn Thủy</v>
      </c>
    </row>
    <row r="787">
      <c r="A787" s="1" t="s">
        <v>697</v>
      </c>
      <c r="B787" s="2" t="s">
        <v>699</v>
      </c>
      <c r="C787" s="2" t="s">
        <v>621</v>
      </c>
      <c r="E787" s="2" t="str">
        <f>IFERROR(__xludf.DUMMYFUNCTION("REGEXREPLACE(A787,""^Trường\s*"","""")"),"PTDT Nội Trú THCS Quan Sơn")</f>
        <v>PTDT Nội Trú THCS Quan Sơn</v>
      </c>
    </row>
    <row r="788">
      <c r="A788" s="1" t="s">
        <v>706</v>
      </c>
      <c r="B788" s="2" t="s">
        <v>709</v>
      </c>
      <c r="C788" s="2" t="s">
        <v>710</v>
      </c>
      <c r="E788" s="2" t="str">
        <f>IFERROR(__xludf.DUMMYFUNCTION("REGEXREPLACE(A788,""^Trường\s*"","""")"),"PTDTBT THCS Na Mèo")</f>
        <v>PTDTBT THCS Na Mèo</v>
      </c>
    </row>
    <row r="789">
      <c r="A789" s="1" t="s">
        <v>715</v>
      </c>
      <c r="B789" s="2" t="s">
        <v>717</v>
      </c>
      <c r="C789" s="2" t="s">
        <v>628</v>
      </c>
      <c r="E789" s="2" t="str">
        <f>IFERROR(__xludf.DUMMYFUNCTION("REGEXREPLACE(A789,""^Trường\s*"","""")"),"THCS Trung Tiến")</f>
        <v>THCS Trung Tiến</v>
      </c>
    </row>
    <row r="790">
      <c r="A790" s="1" t="s">
        <v>722</v>
      </c>
      <c r="B790" s="2" t="s">
        <v>723</v>
      </c>
      <c r="C790" s="2" t="s">
        <v>726</v>
      </c>
      <c r="E790" s="2" t="str">
        <f>IFERROR(__xludf.DUMMYFUNCTION("REGEXREPLACE(A790,""^Trường\s*"","""")"),"THamp;THCS Chí Linh")</f>
        <v>THamp;THCS Chí Linh</v>
      </c>
    </row>
    <row r="791">
      <c r="A791" s="1" t="s">
        <v>730</v>
      </c>
      <c r="B791" s="2" t="s">
        <v>733</v>
      </c>
      <c r="C791" s="2" t="s">
        <v>735</v>
      </c>
      <c r="E791" s="2" t="str">
        <f>IFERROR(__xludf.DUMMYFUNCTION("REGEXREPLACE(A791,""^Trường\s*"","""")"),"THCS Tân Phúc")</f>
        <v>THCS Tân Phúc</v>
      </c>
    </row>
    <row r="792">
      <c r="A792" s="1" t="s">
        <v>740</v>
      </c>
      <c r="B792" s="2" t="s">
        <v>742</v>
      </c>
      <c r="C792" s="2" t="s">
        <v>743</v>
      </c>
      <c r="E792" s="2" t="str">
        <f>IFERROR(__xludf.DUMMYFUNCTION("REGEXREPLACE(A792,""^Trường\s*"","""")"),"TH&amp;THCS Tam Văn")</f>
        <v>TH&amp;THCS Tam Văn</v>
      </c>
    </row>
    <row r="793">
      <c r="A793" s="1" t="s">
        <v>746</v>
      </c>
      <c r="B793" s="2" t="s">
        <v>747</v>
      </c>
      <c r="C793" s="2" t="s">
        <v>743</v>
      </c>
      <c r="E793" s="2" t="str">
        <f>IFERROR(__xludf.DUMMYFUNCTION("REGEXREPLACE(A793,""^Trường\s*"","""")"),"THCS Lâm Phú")</f>
        <v>THCS Lâm Phú</v>
      </c>
    </row>
    <row r="794">
      <c r="A794" s="1" t="s">
        <v>752</v>
      </c>
      <c r="B794" s="2" t="s">
        <v>756</v>
      </c>
      <c r="C794" s="2" t="s">
        <v>758</v>
      </c>
      <c r="E794" s="2" t="str">
        <f>IFERROR(__xludf.DUMMYFUNCTION("REGEXREPLACE(A794,""^Trường\s*"","""")"),"THCS Giao Thiện")</f>
        <v>THCS Giao Thiện</v>
      </c>
    </row>
    <row r="795">
      <c r="A795" s="1" t="s">
        <v>763</v>
      </c>
      <c r="B795" s="2" t="s">
        <v>766</v>
      </c>
      <c r="C795" s="2" t="s">
        <v>784</v>
      </c>
      <c r="E795" s="2" t="str">
        <f>IFERROR(__xludf.DUMMYFUNCTION("REGEXREPLACE(A795,""^Trường\s*"","""")"),"THCS Yên Khương")</f>
        <v>THCS Yên Khương</v>
      </c>
    </row>
    <row r="796">
      <c r="A796" s="1" t="s">
        <v>791</v>
      </c>
      <c r="B796" s="2" t="s">
        <v>793</v>
      </c>
      <c r="C796" s="2" t="s">
        <v>726</v>
      </c>
      <c r="E796" s="2" t="str">
        <f>IFERROR(__xludf.DUMMYFUNCTION("REGEXREPLACE(A796,""^Trường\s*"","""")"),"THCS Linh Sơn")</f>
        <v>THCS Linh Sơn</v>
      </c>
    </row>
    <row r="797">
      <c r="A797" s="1" t="s">
        <v>797</v>
      </c>
      <c r="B797" s="2" t="s">
        <v>800</v>
      </c>
      <c r="C797" s="2" t="s">
        <v>758</v>
      </c>
      <c r="E797" s="2" t="str">
        <f>IFERROR(__xludf.DUMMYFUNCTION("REGEXREPLACE(A797,""^Trường\s*"","""")"),"TH&amp;THCS Giao An")</f>
        <v>TH&amp;THCS Giao An</v>
      </c>
    </row>
    <row r="798">
      <c r="A798" s="1" t="s">
        <v>806</v>
      </c>
      <c r="B798" s="2" t="s">
        <v>808</v>
      </c>
      <c r="C798" s="2" t="s">
        <v>809</v>
      </c>
      <c r="E798" s="2" t="str">
        <f>IFERROR(__xludf.DUMMYFUNCTION("REGEXREPLACE(A798,""^Trường\s*"","""")"),"THCS Yên Thắng")</f>
        <v>THCS Yên Thắng</v>
      </c>
    </row>
    <row r="799">
      <c r="A799" s="1" t="s">
        <v>814</v>
      </c>
      <c r="B799" s="2" t="s">
        <v>817</v>
      </c>
      <c r="C799" s="2" t="s">
        <v>735</v>
      </c>
      <c r="E799" s="2" t="str">
        <f>IFERROR(__xludf.DUMMYFUNCTION("REGEXREPLACE(A799,""^Trường\s*"","""")"),"THCS Đồng Lương")</f>
        <v>THCS Đồng Lương</v>
      </c>
    </row>
    <row r="800">
      <c r="A800" s="11" t="s">
        <v>823</v>
      </c>
      <c r="B800" s="2" t="s">
        <v>825</v>
      </c>
      <c r="C800" s="2" t="s">
        <v>726</v>
      </c>
      <c r="E800" s="2" t="str">
        <f>IFERROR(__xludf.DUMMYFUNCTION("REGEXREPLACE(A800,""^Trường\s*"","""")"),"PTDTNT THCS Lang Chánh")</f>
        <v>PTDTNT THCS Lang Chánh</v>
      </c>
    </row>
    <row r="801">
      <c r="A801" s="1" t="s">
        <v>831</v>
      </c>
      <c r="B801" s="2" t="s">
        <v>833</v>
      </c>
      <c r="C801" s="2" t="s">
        <v>836</v>
      </c>
      <c r="E801" s="2" t="str">
        <f>IFERROR(__xludf.DUMMYFUNCTION("REGEXREPLACE(A801,""^Trường\s*"","""")"),"TH&amp;THCS Lộc Thịnh")</f>
        <v>TH&amp;THCS Lộc Thịnh</v>
      </c>
    </row>
    <row r="802">
      <c r="A802" s="1" t="s">
        <v>840</v>
      </c>
      <c r="B802" s="2" t="s">
        <v>842</v>
      </c>
      <c r="C802" s="2" t="s">
        <v>843</v>
      </c>
      <c r="E802" s="2" t="str">
        <f>IFERROR(__xludf.DUMMYFUNCTION("REGEXREPLACE(A802,""^Trường\s*"","""")"),"THCS Ngọc Lặc")</f>
        <v>THCS Ngọc Lặc</v>
      </c>
    </row>
    <row r="803">
      <c r="A803" s="1" t="s">
        <v>849</v>
      </c>
      <c r="B803" s="2" t="s">
        <v>850</v>
      </c>
      <c r="C803" s="2" t="s">
        <v>852</v>
      </c>
      <c r="E803" s="2" t="str">
        <f>IFERROR(__xludf.DUMMYFUNCTION("REGEXREPLACE(A803,""^Trường\s*"","""")"),"THCS Lam Sơn")</f>
        <v>THCS Lam Sơn</v>
      </c>
    </row>
    <row r="804">
      <c r="A804" s="1" t="s">
        <v>856</v>
      </c>
      <c r="B804" s="2" t="s">
        <v>858</v>
      </c>
      <c r="C804" s="2" t="s">
        <v>861</v>
      </c>
      <c r="E804" s="2" t="str">
        <f>IFERROR(__xludf.DUMMYFUNCTION("REGEXREPLACE(A804,""^Trường\s*"","""")"),"THCS Vân Am")</f>
        <v>THCS Vân Am</v>
      </c>
    </row>
    <row r="805">
      <c r="A805" s="1" t="s">
        <v>174</v>
      </c>
      <c r="B805" s="2" t="s">
        <v>866</v>
      </c>
      <c r="C805" s="2" t="s">
        <v>869</v>
      </c>
      <c r="E805" s="2" t="str">
        <f>IFERROR(__xludf.DUMMYFUNCTION("REGEXREPLACE(A805,""^Trường\s*"","""")"),"THCS Quang Trung")</f>
        <v>THCS Quang Trung</v>
      </c>
    </row>
    <row r="806">
      <c r="A806" s="1" t="s">
        <v>873</v>
      </c>
      <c r="B806" s="2" t="s">
        <v>875</v>
      </c>
      <c r="C806" s="2" t="s">
        <v>824</v>
      </c>
      <c r="E806" s="2" t="str">
        <f>IFERROR(__xludf.DUMMYFUNCTION("REGEXREPLACE(A806,""^Trường\s*"","""")"),"THCS Kiên Thọ")</f>
        <v>THCS Kiên Thọ</v>
      </c>
    </row>
    <row r="807">
      <c r="A807" s="1" t="s">
        <v>882</v>
      </c>
      <c r="B807" s="2" t="s">
        <v>885</v>
      </c>
      <c r="C807" s="2" t="s">
        <v>843</v>
      </c>
      <c r="E807" s="2" t="str">
        <f>IFERROR(__xludf.DUMMYFUNCTION("REGEXREPLACE(A807,""^Trường\s*"","""")"),"THCS Thúy Sơn")</f>
        <v>THCS Thúy Sơn</v>
      </c>
    </row>
    <row r="808">
      <c r="A808" s="1" t="s">
        <v>888</v>
      </c>
      <c r="B808" s="2" t="s">
        <v>891</v>
      </c>
      <c r="C808" s="2" t="s">
        <v>843</v>
      </c>
      <c r="E808" s="2" t="str">
        <f>IFERROR(__xludf.DUMMYFUNCTION("REGEXREPLACE(A808,""^Trường\s*"","""")"),"THCS Ngọc Khê")</f>
        <v>THCS Ngọc Khê</v>
      </c>
    </row>
    <row r="809">
      <c r="A809" s="1" t="s">
        <v>897</v>
      </c>
      <c r="B809" s="2" t="s">
        <v>899</v>
      </c>
      <c r="C809" s="2" t="s">
        <v>852</v>
      </c>
      <c r="E809" s="2" t="str">
        <f>IFERROR(__xludf.DUMMYFUNCTION("REGEXREPLACE(A809,""^Trường\s*"","""")"),"THCS Minh Sơn")</f>
        <v>THCS Minh Sơn</v>
      </c>
    </row>
    <row r="810">
      <c r="A810" s="1" t="s">
        <v>905</v>
      </c>
      <c r="B810" s="2" t="s">
        <v>908</v>
      </c>
      <c r="C810" s="2" t="s">
        <v>836</v>
      </c>
      <c r="E810" s="2" t="str">
        <f>IFERROR(__xludf.DUMMYFUNCTION("REGEXREPLACE(A810,""^Trường\s*"","""")"),"THCS Ngọc Trung")</f>
        <v>THCS Ngọc Trung</v>
      </c>
    </row>
    <row r="811">
      <c r="A811" s="1" t="s">
        <v>914</v>
      </c>
      <c r="B811" s="2" t="s">
        <v>917</v>
      </c>
      <c r="C811" s="2" t="s">
        <v>861</v>
      </c>
      <c r="E811" s="2" t="str">
        <f>IFERROR(__xludf.DUMMYFUNCTION("REGEXREPLACE(A811,""^Trường\s*"","""")"),"THCS Nguyệt Ấn")</f>
        <v>THCS Nguyệt Ấn</v>
      </c>
    </row>
    <row r="812">
      <c r="A812" s="1" t="s">
        <v>922</v>
      </c>
      <c r="B812" s="2" t="s">
        <v>924</v>
      </c>
      <c r="C812" s="2" t="s">
        <v>852</v>
      </c>
      <c r="E812" s="2" t="str">
        <f>IFERROR(__xludf.DUMMYFUNCTION("REGEXREPLACE(A812,""^Trường\s*"","""")"),"THCS Minh Tiến")</f>
        <v>THCS Minh Tiến</v>
      </c>
    </row>
    <row r="813">
      <c r="A813" s="1" t="s">
        <v>930</v>
      </c>
      <c r="B813" s="2" t="s">
        <v>933</v>
      </c>
      <c r="C813" s="2" t="s">
        <v>836</v>
      </c>
      <c r="E813" s="2" t="str">
        <f>IFERROR(__xludf.DUMMYFUNCTION("REGEXREPLACE(A813,""^Trường\s*"","""")"),"THCS Ngọc Liên")</f>
        <v>THCS Ngọc Liên</v>
      </c>
    </row>
    <row r="814">
      <c r="A814" s="1" t="s">
        <v>937</v>
      </c>
      <c r="B814" s="2" t="s">
        <v>939</v>
      </c>
      <c r="C814" s="2" t="s">
        <v>836</v>
      </c>
      <c r="E814" s="2" t="str">
        <f>IFERROR(__xludf.DUMMYFUNCTION("REGEXREPLACE(A814,""^Trường\s*"","""")"),"THCS Ngọc Sơn")</f>
        <v>THCS Ngọc Sơn</v>
      </c>
    </row>
    <row r="815">
      <c r="A815" s="1" t="s">
        <v>943</v>
      </c>
      <c r="B815" s="2" t="s">
        <v>945</v>
      </c>
      <c r="C815" s="2" t="s">
        <v>824</v>
      </c>
      <c r="E815" s="2" t="str">
        <f>IFERROR(__xludf.DUMMYFUNCTION("REGEXREPLACE(A815,""^Trường\s*"","""")"),"THCS Phúc Thịnh")</f>
        <v>THCS Phúc Thịnh</v>
      </c>
    </row>
    <row r="816">
      <c r="A816" s="1" t="s">
        <v>952</v>
      </c>
      <c r="B816" s="2" t="s">
        <v>954</v>
      </c>
      <c r="C816" s="2" t="s">
        <v>869</v>
      </c>
      <c r="E816" s="2" t="str">
        <f>IFERROR(__xludf.DUMMYFUNCTION("REGEXREPLACE(A816,""^Trường\s*"","""")"),"THCS Thạch Lập")</f>
        <v>THCS Thạch Lập</v>
      </c>
    </row>
    <row r="817">
      <c r="A817" s="1" t="s">
        <v>957</v>
      </c>
      <c r="B817" s="2" t="s">
        <v>959</v>
      </c>
      <c r="C817" s="2" t="s">
        <v>861</v>
      </c>
      <c r="E817" s="2" t="str">
        <f>IFERROR(__xludf.DUMMYFUNCTION("REGEXREPLACE(A817,""^Trường\s*"","""")"),"THCS Phùng Giáo")</f>
        <v>THCS Phùng Giáo</v>
      </c>
    </row>
    <row r="818">
      <c r="A818" s="1" t="s">
        <v>961</v>
      </c>
      <c r="B818" s="2" t="s">
        <v>963</v>
      </c>
      <c r="C818" s="2" t="s">
        <v>836</v>
      </c>
      <c r="E818" s="2" t="str">
        <f>IFERROR(__xludf.DUMMYFUNCTION("REGEXREPLACE(A818,""^Trường\s*"","""")"),"THCS Cao Thịnh")</f>
        <v>THCS Cao Thịnh</v>
      </c>
    </row>
    <row r="819">
      <c r="A819" s="1" t="s">
        <v>968</v>
      </c>
      <c r="B819" s="2" t="s">
        <v>969</v>
      </c>
      <c r="C819" s="2" t="s">
        <v>824</v>
      </c>
      <c r="E819" s="2" t="str">
        <f>IFERROR(__xludf.DUMMYFUNCTION("REGEXREPLACE(A819,""^Trường\s*"","""")"),"TH&amp;THCS Phùng Minh")</f>
        <v>TH&amp;THCS Phùng Minh</v>
      </c>
    </row>
    <row r="820">
      <c r="A820" s="1" t="s">
        <v>974</v>
      </c>
      <c r="B820" s="2" t="s">
        <v>976</v>
      </c>
      <c r="C820" s="2" t="s">
        <v>869</v>
      </c>
      <c r="E820" s="2" t="str">
        <f>IFERROR(__xludf.DUMMYFUNCTION("REGEXREPLACE(A820,""^Trường\s*"","""")"),"TH&amp;THCS Đồng Thịnh")</f>
        <v>TH&amp;THCS Đồng Thịnh</v>
      </c>
    </row>
    <row r="821">
      <c r="A821" s="1" t="s">
        <v>978</v>
      </c>
      <c r="B821" s="2" t="s">
        <v>981</v>
      </c>
      <c r="C821" s="2" t="s">
        <v>843</v>
      </c>
      <c r="E821" s="2" t="str">
        <f>IFERROR(__xludf.DUMMYFUNCTION("REGEXREPLACE(A821,""^Trường\s*"","""")"),"THCS Mỹ Tân")</f>
        <v>THCS Mỹ Tân</v>
      </c>
    </row>
    <row r="822">
      <c r="A822" s="1" t="s">
        <v>984</v>
      </c>
      <c r="B822" s="2" t="s">
        <v>985</v>
      </c>
      <c r="C822" s="2" t="s">
        <v>852</v>
      </c>
      <c r="E822" s="2" t="str">
        <f>IFERROR(__xludf.DUMMYFUNCTION("REGEXREPLACE(A822,""^Trường\s*"","""")"),"THCS Cao Ngọc")</f>
        <v>THCS Cao Ngọc</v>
      </c>
    </row>
    <row r="823">
      <c r="A823" s="1" t="s">
        <v>991</v>
      </c>
      <c r="B823" s="2" t="s">
        <v>992</v>
      </c>
      <c r="C823" s="2" t="s">
        <v>843</v>
      </c>
      <c r="E823" s="2" t="str">
        <f>IFERROR(__xludf.DUMMYFUNCTION("REGEXREPLACE(A823,""^Trường\s*"","""")"),"THCS Lê Đình Chinh")</f>
        <v>THCS Lê Đình Chinh</v>
      </c>
    </row>
    <row r="824">
      <c r="A824" s="18" t="s">
        <v>1000</v>
      </c>
      <c r="B824" s="26" t="s">
        <v>1005</v>
      </c>
      <c r="C824" s="26" t="s">
        <v>852</v>
      </c>
      <c r="E824" s="2" t="str">
        <f>IFERROR(__xludf.DUMMYFUNCTION("REGEXREPLACE(A824,""^Trường\s*"","""")"),"PT Dân tộc nội trú THCS Ngọc Lặc")</f>
        <v>PT Dân tộc nội trú THCS Ngọc Lặc</v>
      </c>
    </row>
    <row r="825">
      <c r="A825" s="1" t="s">
        <v>689</v>
      </c>
      <c r="B825" s="2" t="s">
        <v>691</v>
      </c>
      <c r="C825" s="2" t="s">
        <v>652</v>
      </c>
      <c r="E825" s="2" t="str">
        <f>IFERROR(__xludf.DUMMYFUNCTION("REGEXREPLACE(A825,""^Trường\s*"","""")"),"TH&amp;THCS Cẩm Liên")</f>
        <v>TH&amp;THCS Cẩm Liên</v>
      </c>
    </row>
    <row r="826">
      <c r="A826" s="1" t="s">
        <v>777</v>
      </c>
      <c r="B826" s="2" t="s">
        <v>778</v>
      </c>
      <c r="C826" s="2" t="s">
        <v>774</v>
      </c>
      <c r="E826" s="2" t="str">
        <f>IFERROR(__xludf.DUMMYFUNCTION("REGEXREPLACE(A826,""^Trường\s*"","""")"),"TH&amp;THCS Cẩm Yên")</f>
        <v>TH&amp;THCS Cẩm Yên</v>
      </c>
    </row>
    <row r="827">
      <c r="A827" s="1" t="s">
        <v>782</v>
      </c>
      <c r="B827" s="2" t="s">
        <v>783</v>
      </c>
      <c r="C827" s="2" t="s">
        <v>774</v>
      </c>
      <c r="E827" s="2" t="str">
        <f>IFERROR(__xludf.DUMMYFUNCTION("REGEXREPLACE(A827,""^Trường\s*"","""")"),"TH&amp;THCS Cẩm Tâm")</f>
        <v>TH&amp;THCS Cẩm Tâm</v>
      </c>
    </row>
    <row r="828">
      <c r="A828" s="1" t="s">
        <v>769</v>
      </c>
      <c r="B828" s="2" t="s">
        <v>770</v>
      </c>
      <c r="C828" s="2" t="s">
        <v>754</v>
      </c>
      <c r="E828" s="2" t="str">
        <f>IFERROR(__xludf.DUMMYFUNCTION("REGEXREPLACE(A828,""^Trường\s*"","""")"),"TH&amp;THCS Cẩm Lương")</f>
        <v>TH&amp;THCS Cẩm Lương</v>
      </c>
    </row>
    <row r="829">
      <c r="A829" s="1" t="s">
        <v>1051</v>
      </c>
      <c r="B829" s="2" t="s">
        <v>1054</v>
      </c>
      <c r="C829" s="2" t="s">
        <v>652</v>
      </c>
      <c r="E829" s="2" t="str">
        <f>IFERROR(__xludf.DUMMYFUNCTION("REGEXREPLACE(A829,""^Trường\s*"","""")"),"THCS Cẩm Bình")</f>
        <v>THCS Cẩm Bình</v>
      </c>
    </row>
    <row r="830">
      <c r="A830" s="1" t="s">
        <v>1060</v>
      </c>
      <c r="B830" s="2" t="s">
        <v>1062</v>
      </c>
      <c r="C830" s="2" t="s">
        <v>663</v>
      </c>
      <c r="E830" s="2" t="str">
        <f>IFERROR(__xludf.DUMMYFUNCTION("REGEXREPLACE(A830,""^Trường\s*"","""")"),"THCS Cẩm Thủy")</f>
        <v>THCS Cẩm Thủy</v>
      </c>
    </row>
    <row r="831">
      <c r="A831" s="1" t="s">
        <v>1068</v>
      </c>
      <c r="B831" s="2" t="s">
        <v>1072</v>
      </c>
      <c r="C831" s="2" t="s">
        <v>663</v>
      </c>
      <c r="E831" s="2" t="str">
        <f>IFERROR(__xludf.DUMMYFUNCTION("REGEXREPLACE(A831,""^Trường\s*"","""")"),"THCS Cẩm Sơn")</f>
        <v>THCS Cẩm Sơn</v>
      </c>
    </row>
    <row r="832">
      <c r="A832" s="1" t="s">
        <v>1080</v>
      </c>
      <c r="B832" s="2" t="s">
        <v>1083</v>
      </c>
      <c r="C832" s="2" t="s">
        <v>774</v>
      </c>
      <c r="E832" s="2" t="str">
        <f>IFERROR(__xludf.DUMMYFUNCTION("REGEXREPLACE(A832,""^Trường\s*"","""")"),"THCS Cẩm Châu")</f>
        <v>THCS Cẩm Châu</v>
      </c>
    </row>
    <row r="833">
      <c r="A833" s="1" t="s">
        <v>1090</v>
      </c>
      <c r="B833" s="2" t="s">
        <v>1092</v>
      </c>
      <c r="C833" s="2" t="s">
        <v>663</v>
      </c>
      <c r="E833" s="2" t="str">
        <f>IFERROR(__xludf.DUMMYFUNCTION("REGEXREPLACE(A833,""^Trường\s*"","""")"),"THCS Cẩm Phong")</f>
        <v>THCS Cẩm Phong</v>
      </c>
    </row>
    <row r="834">
      <c r="A834" s="1" t="s">
        <v>1099</v>
      </c>
      <c r="B834" s="2" t="s">
        <v>1101</v>
      </c>
      <c r="C834" s="2" t="s">
        <v>774</v>
      </c>
      <c r="E834" s="2" t="str">
        <f>IFERROR(__xludf.DUMMYFUNCTION("REGEXREPLACE(A834,""^Trường\s*"","""")"),"THCS Cẩm Vân")</f>
        <v>THCS Cẩm Vân</v>
      </c>
    </row>
    <row r="835">
      <c r="A835" s="1" t="s">
        <v>1110</v>
      </c>
      <c r="B835" s="2" t="s">
        <v>1112</v>
      </c>
      <c r="C835" s="2" t="s">
        <v>642</v>
      </c>
      <c r="E835" s="2" t="str">
        <f>IFERROR(__xludf.DUMMYFUNCTION("REGEXREPLACE(A835,""^Trường\s*"","""")"),"THCS Trương Công Man")</f>
        <v>THCS Trương Công Man</v>
      </c>
    </row>
    <row r="836">
      <c r="A836" s="1" t="s">
        <v>1119</v>
      </c>
      <c r="B836" s="2" t="s">
        <v>1120</v>
      </c>
      <c r="C836" s="2" t="s">
        <v>642</v>
      </c>
      <c r="E836" s="2" t="str">
        <f>IFERROR(__xludf.DUMMYFUNCTION("REGEXREPLACE(A836,""^Trường\s*"","""")"),"THCS Cẩm Tân")</f>
        <v>THCS Cẩm Tân</v>
      </c>
    </row>
    <row r="837">
      <c r="A837" s="1" t="s">
        <v>1125</v>
      </c>
      <c r="B837" s="2" t="s">
        <v>1127</v>
      </c>
      <c r="C837" s="2" t="s">
        <v>642</v>
      </c>
      <c r="E837" s="2" t="str">
        <f>IFERROR(__xludf.DUMMYFUNCTION("REGEXREPLACE(A837,""^Trường\s*"","""")"),"THCS Cẩm Long")</f>
        <v>THCS Cẩm Long</v>
      </c>
    </row>
    <row r="838">
      <c r="A838" s="1" t="s">
        <v>1132</v>
      </c>
      <c r="B838" s="2" t="s">
        <v>1133</v>
      </c>
      <c r="C838" s="2" t="s">
        <v>754</v>
      </c>
      <c r="E838" s="2" t="str">
        <f>IFERROR(__xludf.DUMMYFUNCTION("REGEXREPLACE(A838,""^Trường\s*"","""")"),"THCS Cẩm Tú")</f>
        <v>THCS Cẩm Tú</v>
      </c>
    </row>
    <row r="839">
      <c r="A839" s="1" t="s">
        <v>1137</v>
      </c>
      <c r="B839" s="2" t="s">
        <v>1139</v>
      </c>
      <c r="C839" s="2" t="s">
        <v>663</v>
      </c>
      <c r="E839" s="2" t="str">
        <f>IFERROR(__xludf.DUMMYFUNCTION("REGEXREPLACE(A839,""^Trường\s*"","""")"),"THCS Cẩm Ngọc")</f>
        <v>THCS Cẩm Ngọc</v>
      </c>
    </row>
    <row r="840">
      <c r="A840" s="1" t="s">
        <v>1143</v>
      </c>
      <c r="B840" s="2" t="s">
        <v>1146</v>
      </c>
      <c r="C840" s="2" t="s">
        <v>652</v>
      </c>
      <c r="E840" s="2" t="str">
        <f>IFERROR(__xludf.DUMMYFUNCTION("REGEXREPLACE(A840,""^Trường\s*"","""")"),"THCS Cẩm Thành")</f>
        <v>THCS Cẩm Thành</v>
      </c>
    </row>
    <row r="841">
      <c r="A841" s="1" t="s">
        <v>1151</v>
      </c>
      <c r="B841" s="2" t="s">
        <v>1153</v>
      </c>
      <c r="C841" s="2" t="s">
        <v>652</v>
      </c>
      <c r="E841" s="2" t="str">
        <f>IFERROR(__xludf.DUMMYFUNCTION("REGEXREPLACE(A841,""^Trường\s*"","""")"),"THCS Cẩm Thạch")</f>
        <v>THCS Cẩm Thạch</v>
      </c>
    </row>
    <row r="842">
      <c r="A842" s="1" t="s">
        <v>1158</v>
      </c>
      <c r="B842" s="2" t="s">
        <v>1160</v>
      </c>
      <c r="C842" s="2" t="s">
        <v>754</v>
      </c>
      <c r="E842" s="2" t="str">
        <f>IFERROR(__xludf.DUMMYFUNCTION("REGEXREPLACE(A842,""^Trường\s*"","""")"),"THCS Cẩm Giang")</f>
        <v>THCS Cẩm Giang</v>
      </c>
    </row>
    <row r="843">
      <c r="A843" s="1" t="s">
        <v>1166</v>
      </c>
      <c r="B843" s="2" t="s">
        <v>1168</v>
      </c>
      <c r="C843" s="2" t="s">
        <v>754</v>
      </c>
      <c r="E843" s="2" t="str">
        <f>IFERROR(__xludf.DUMMYFUNCTION("REGEXREPLACE(A843,""^Trường\s*"","""")"),"THCS Cẩm Quý")</f>
        <v>THCS Cẩm Quý</v>
      </c>
    </row>
    <row r="844">
      <c r="A844" s="1" t="s">
        <v>1175</v>
      </c>
      <c r="B844" s="2" t="s">
        <v>1177</v>
      </c>
      <c r="C844" s="2" t="s">
        <v>663</v>
      </c>
      <c r="E844" s="2" t="str">
        <f>IFERROR(__xludf.DUMMYFUNCTION("REGEXREPLACE(A844,""^Trường\s*"","""")"),"PTDTNT THCS Cẩm Thủy")</f>
        <v>PTDTNT THCS Cẩm Thủy</v>
      </c>
    </row>
    <row r="845">
      <c r="A845" s="1" t="s">
        <v>1184</v>
      </c>
      <c r="B845" s="2" t="s">
        <v>1186</v>
      </c>
      <c r="C845" s="2" t="s">
        <v>1098</v>
      </c>
      <c r="E845" s="2" t="str">
        <f>IFERROR(__xludf.DUMMYFUNCTION("REGEXREPLACE(A845,""^Trường\s*"","""")"),"THCS Thạch Lâm")</f>
        <v>THCS Thạch Lâm</v>
      </c>
    </row>
    <row r="846">
      <c r="A846" s="1" t="s">
        <v>1193</v>
      </c>
      <c r="B846" s="2" t="s">
        <v>1195</v>
      </c>
      <c r="C846" s="2" t="s">
        <v>1098</v>
      </c>
      <c r="E846" s="2" t="str">
        <f>IFERROR(__xludf.DUMMYFUNCTION("REGEXREPLACE(A846,""^Trường\s*"","""")"),"THCS Thạch Tượng")</f>
        <v>THCS Thạch Tượng</v>
      </c>
    </row>
    <row r="847">
      <c r="A847" s="1" t="s">
        <v>1202</v>
      </c>
      <c r="B847" s="2" t="s">
        <v>1205</v>
      </c>
      <c r="C847" s="2" t="s">
        <v>1098</v>
      </c>
      <c r="E847" s="2" t="str">
        <f>IFERROR(__xludf.DUMMYFUNCTION("REGEXREPLACE(A847,""^Trường\s*"","""")"),"THCS Thạch Quảng")</f>
        <v>THCS Thạch Quảng</v>
      </c>
    </row>
    <row r="848">
      <c r="A848" s="1" t="s">
        <v>1211</v>
      </c>
      <c r="B848" s="2" t="s">
        <v>1214</v>
      </c>
      <c r="C848" s="2" t="s">
        <v>1084</v>
      </c>
      <c r="E848" s="2" t="str">
        <f>IFERROR(__xludf.DUMMYFUNCTION("REGEXREPLACE(A848,""^Trường\s*"","""")"),"THCS Thạch Cẩm")</f>
        <v>THCS Thạch Cẩm</v>
      </c>
    </row>
    <row r="849">
      <c r="A849" s="1" t="s">
        <v>1220</v>
      </c>
      <c r="B849" s="2" t="s">
        <v>1222</v>
      </c>
      <c r="C849" s="2" t="s">
        <v>1084</v>
      </c>
      <c r="E849" s="2" t="str">
        <f>IFERROR(__xludf.DUMMYFUNCTION("REGEXREPLACE(A849,""^Trường\s*"","""")"),"THCS Thạch Sơn")</f>
        <v>THCS Thạch Sơn</v>
      </c>
    </row>
    <row r="850">
      <c r="A850" s="1" t="s">
        <v>1227</v>
      </c>
      <c r="B850" s="2" t="s">
        <v>1230</v>
      </c>
      <c r="C850" s="2" t="s">
        <v>1084</v>
      </c>
      <c r="E850" s="2" t="str">
        <f>IFERROR(__xludf.DUMMYFUNCTION("REGEXREPLACE(A850,""^Trường\s*"","""")"),"THCS Thạch Bình")</f>
        <v>THCS Thạch Bình</v>
      </c>
    </row>
    <row r="851">
      <c r="A851" s="1" t="s">
        <v>1235</v>
      </c>
      <c r="B851" s="2" t="s">
        <v>1237</v>
      </c>
      <c r="C851" s="2" t="s">
        <v>830</v>
      </c>
      <c r="E851" s="2" t="str">
        <f>IFERROR(__xludf.DUMMYFUNCTION("REGEXREPLACE(A851,""^Trường\s*"","""")"),"TH&amp;THCS Thạch Định")</f>
        <v>TH&amp;THCS Thạch Định</v>
      </c>
    </row>
    <row r="852">
      <c r="A852" s="1" t="s">
        <v>1242</v>
      </c>
      <c r="B852" s="2" t="s">
        <v>1243</v>
      </c>
      <c r="C852" s="2" t="s">
        <v>1084</v>
      </c>
      <c r="E852" s="2" t="str">
        <f>IFERROR(__xludf.DUMMYFUNCTION("REGEXREPLACE(A852,""^Trường\s*"","""")"),"THCS Thạch Đồng")</f>
        <v>THCS Thạch Đồng</v>
      </c>
    </row>
    <row r="853">
      <c r="A853" s="1" t="s">
        <v>1250</v>
      </c>
      <c r="B853" s="2" t="s">
        <v>1251</v>
      </c>
      <c r="C853" s="2" t="s">
        <v>1084</v>
      </c>
      <c r="E853" s="2" t="str">
        <f>IFERROR(__xludf.DUMMYFUNCTION("REGEXREPLACE(A853,""^Trường\s*"","""")"),"THCS Thạch Long")</f>
        <v>THCS Thạch Long</v>
      </c>
    </row>
    <row r="854">
      <c r="A854" s="1" t="s">
        <v>1254</v>
      </c>
      <c r="B854" s="2" t="s">
        <v>1255</v>
      </c>
      <c r="C854" s="2" t="s">
        <v>1256</v>
      </c>
      <c r="E854" s="2" t="str">
        <f>IFERROR(__xludf.DUMMYFUNCTION("REGEXREPLACE(A854,""^Trường\s*"","""")"),"THCS Thành Yên")</f>
        <v>THCS Thành Yên</v>
      </c>
    </row>
    <row r="855">
      <c r="A855" s="1" t="s">
        <v>1257</v>
      </c>
      <c r="B855" s="2" t="s">
        <v>1258</v>
      </c>
      <c r="C855" s="2" t="s">
        <v>1256</v>
      </c>
      <c r="E855" s="2" t="str">
        <f>IFERROR(__xludf.DUMMYFUNCTION("REGEXREPLACE(A855,""^Trường\s*"","""")"),"THCS Thành Mỹ")</f>
        <v>THCS Thành Mỹ</v>
      </c>
    </row>
    <row r="856">
      <c r="A856" s="1" t="s">
        <v>1259</v>
      </c>
      <c r="B856" s="2" t="s">
        <v>1260</v>
      </c>
      <c r="C856" s="2" t="s">
        <v>1256</v>
      </c>
      <c r="E856" s="2" t="str">
        <f>IFERROR(__xludf.DUMMYFUNCTION("REGEXREPLACE(A856,""^Trường\s*"","""")"),"THCS Thành Vinh")</f>
        <v>THCS Thành Vinh</v>
      </c>
    </row>
    <row r="857">
      <c r="A857" s="1" t="s">
        <v>1261</v>
      </c>
      <c r="B857" s="2" t="s">
        <v>1262</v>
      </c>
      <c r="C857" s="2" t="s">
        <v>830</v>
      </c>
      <c r="E857" s="2" t="str">
        <f>IFERROR(__xludf.DUMMYFUNCTION("REGEXREPLACE(A857,""^Trường\s*"","""")"),"THCS Thành Trực")</f>
        <v>THCS Thành Trực</v>
      </c>
    </row>
    <row r="858">
      <c r="A858" s="1" t="s">
        <v>1263</v>
      </c>
      <c r="B858" s="2" t="s">
        <v>1264</v>
      </c>
      <c r="C858" s="2" t="s">
        <v>830</v>
      </c>
      <c r="E858" s="2" t="str">
        <f>IFERROR(__xludf.DUMMYFUNCTION("REGEXREPLACE(A858,""^Trường\s*"","""")"),"THCS Thành Kim")</f>
        <v>THCS Thành Kim</v>
      </c>
    </row>
    <row r="859">
      <c r="A859" s="1" t="s">
        <v>1265</v>
      </c>
      <c r="B859" s="2" t="s">
        <v>1267</v>
      </c>
      <c r="C859" s="2" t="s">
        <v>830</v>
      </c>
      <c r="E859" s="2" t="str">
        <f>IFERROR(__xludf.DUMMYFUNCTION("REGEXREPLACE(A859,""^Trường\s*"","""")"),"THCS Thành Hưng")</f>
        <v>THCS Thành Hưng</v>
      </c>
    </row>
    <row r="860">
      <c r="A860" s="1" t="s">
        <v>1268</v>
      </c>
      <c r="B860" s="2" t="s">
        <v>1269</v>
      </c>
      <c r="C860" s="2" t="s">
        <v>830</v>
      </c>
      <c r="E860" s="2" t="str">
        <f>IFERROR(__xludf.DUMMYFUNCTION("REGEXREPLACE(A860,""^Trường\s*"","""")"),"THCS Thành Tiến")</f>
        <v>THCS Thành Tiến</v>
      </c>
    </row>
    <row r="861">
      <c r="A861" s="1" t="s">
        <v>1270</v>
      </c>
      <c r="B861" s="2" t="s">
        <v>1271</v>
      </c>
      <c r="C861" s="2" t="s">
        <v>1272</v>
      </c>
      <c r="E861" s="2" t="str">
        <f>IFERROR(__xludf.DUMMYFUNCTION("REGEXREPLACE(A861,""^Trường\s*"","""")"),"THCS Thành Long")</f>
        <v>THCS Thành Long</v>
      </c>
    </row>
    <row r="862">
      <c r="A862" s="1" t="s">
        <v>1273</v>
      </c>
      <c r="B862" s="2" t="s">
        <v>1274</v>
      </c>
      <c r="C862" s="2" t="s">
        <v>830</v>
      </c>
      <c r="E862" s="2" t="str">
        <f>IFERROR(__xludf.DUMMYFUNCTION("REGEXREPLACE(A862,""^Trường\s*"","""")"),"THCS Thành Thọ")</f>
        <v>THCS Thành Thọ</v>
      </c>
    </row>
    <row r="863">
      <c r="A863" s="1" t="s">
        <v>1275</v>
      </c>
      <c r="B863" s="2" t="s">
        <v>1277</v>
      </c>
      <c r="C863" s="2" t="s">
        <v>1272</v>
      </c>
      <c r="E863" s="2" t="str">
        <f>IFERROR(__xludf.DUMMYFUNCTION("REGEXREPLACE(A863,""^Trường\s*"","""")"),"THCS Thành An")</f>
        <v>THCS Thành An</v>
      </c>
    </row>
    <row r="864">
      <c r="A864" s="1" t="s">
        <v>224</v>
      </c>
      <c r="B864" s="2" t="s">
        <v>1278</v>
      </c>
      <c r="C864" s="2" t="s">
        <v>1272</v>
      </c>
      <c r="E864" s="2" t="str">
        <f>IFERROR(__xludf.DUMMYFUNCTION("REGEXREPLACE(A864,""^Trường\s*"","""")"),"THCS Ngọc Trạo")</f>
        <v>THCS Ngọc Trạo</v>
      </c>
    </row>
    <row r="865">
      <c r="A865" s="1" t="s">
        <v>1279</v>
      </c>
      <c r="B865" s="2" t="s">
        <v>1280</v>
      </c>
      <c r="C865" s="2" t="s">
        <v>1256</v>
      </c>
      <c r="E865" s="2" t="str">
        <f>IFERROR(__xludf.DUMMYFUNCTION("REGEXREPLACE(A865,""^Trường\s*"","""")"),"THCS Thành Minh")</f>
        <v>THCS Thành Minh</v>
      </c>
    </row>
    <row r="866">
      <c r="A866" s="1" t="s">
        <v>1281</v>
      </c>
      <c r="B866" s="2" t="s">
        <v>1282</v>
      </c>
      <c r="C866" s="2" t="s">
        <v>1283</v>
      </c>
      <c r="E866" s="2" t="str">
        <f>IFERROR(__xludf.DUMMYFUNCTION("REGEXREPLACE(A866,""^Trường\s*"","""")"),"THCS Thành Công")</f>
        <v>THCS Thành Công</v>
      </c>
    </row>
    <row r="867">
      <c r="A867" s="1" t="s">
        <v>1284</v>
      </c>
      <c r="B867" s="2" t="s">
        <v>1285</v>
      </c>
      <c r="C867" s="2" t="s">
        <v>1283</v>
      </c>
      <c r="E867" s="2" t="str">
        <f>IFERROR(__xludf.DUMMYFUNCTION("REGEXREPLACE(A867,""^Trường\s*"","""")"),"THCS Thành Tân")</f>
        <v>THCS Thành Tân</v>
      </c>
    </row>
    <row r="868">
      <c r="A868" s="1" t="s">
        <v>1286</v>
      </c>
      <c r="B868" s="2" t="s">
        <v>1287</v>
      </c>
      <c r="C868" s="2" t="s">
        <v>1283</v>
      </c>
      <c r="E868" s="2" t="str">
        <f>IFERROR(__xludf.DUMMYFUNCTION("REGEXREPLACE(A868,""^Trường\s*"","""")"),"THCS Thành Vân")</f>
        <v>THCS Thành Vân</v>
      </c>
    </row>
    <row r="869">
      <c r="A869" s="1" t="s">
        <v>1288</v>
      </c>
      <c r="B869" s="2" t="s">
        <v>1289</v>
      </c>
      <c r="C869" s="2" t="s">
        <v>1283</v>
      </c>
      <c r="E869" s="2" t="str">
        <f>IFERROR(__xludf.DUMMYFUNCTION("REGEXREPLACE(A869,""^Trường\s*"","""")"),"THCS Vân Du")</f>
        <v>THCS Vân Du</v>
      </c>
    </row>
    <row r="870">
      <c r="A870" s="1" t="s">
        <v>1290</v>
      </c>
      <c r="B870" s="2" t="s">
        <v>1291</v>
      </c>
      <c r="C870" s="2" t="s">
        <v>1272</v>
      </c>
      <c r="E870" s="2" t="str">
        <f>IFERROR(__xludf.DUMMYFUNCTION("REGEXREPLACE(A870,""^Trường\s*"","""")"),"THCS Thành Tâm")</f>
        <v>THCS Thành Tâm</v>
      </c>
    </row>
    <row r="871">
      <c r="A871" s="1" t="s">
        <v>1292</v>
      </c>
      <c r="B871" s="2" t="s">
        <v>1293</v>
      </c>
      <c r="C871" s="2" t="s">
        <v>830</v>
      </c>
      <c r="E871" s="2" t="str">
        <f>IFERROR(__xludf.DUMMYFUNCTION("REGEXREPLACE(A871,""^Trường\s*"","""")"),"THCS Phạm Văn Hinh")</f>
        <v>THCS Phạm Văn Hinh</v>
      </c>
    </row>
    <row r="872">
      <c r="A872" s="1" t="s">
        <v>1294</v>
      </c>
      <c r="B872" s="2" t="s">
        <v>1295</v>
      </c>
      <c r="C872" s="2" t="s">
        <v>1084</v>
      </c>
      <c r="E872" s="2" t="str">
        <f>IFERROR(__xludf.DUMMYFUNCTION("REGEXREPLACE(A872,""^Trường\s*"","""")"),"TH&amp;THCS Thạch Tân")</f>
        <v>TH&amp;THCS Thạch Tân</v>
      </c>
    </row>
    <row r="873">
      <c r="A873" s="18" t="s">
        <v>1296</v>
      </c>
      <c r="B873" s="26" t="s">
        <v>1297</v>
      </c>
      <c r="C873" s="26" t="s">
        <v>830</v>
      </c>
      <c r="E873" s="2" t="str">
        <f>IFERROR(__xludf.DUMMYFUNCTION("REGEXREPLACE(A873,""^Trường\s*"","""")"),"PT DTNT THCS Thạch Thành")</f>
        <v>PT DTNT THCS Thạch Thành</v>
      </c>
    </row>
    <row r="874">
      <c r="A874" s="1" t="s">
        <v>1298</v>
      </c>
      <c r="B874" s="2" t="s">
        <v>1299</v>
      </c>
      <c r="C874" s="2" t="s">
        <v>703</v>
      </c>
      <c r="E874" s="2" t="str">
        <f>IFERROR(__xludf.DUMMYFUNCTION("REGEXREPLACE(A874,""^Trường\s*"","""")"),"THCS Hà Ngọc")</f>
        <v>THCS Hà Ngọc</v>
      </c>
    </row>
    <row r="875">
      <c r="A875" s="1" t="s">
        <v>1300</v>
      </c>
      <c r="B875" s="2" t="s">
        <v>1301</v>
      </c>
      <c r="C875" s="2" t="s">
        <v>795</v>
      </c>
      <c r="E875" s="2" t="str">
        <f>IFERROR(__xludf.DUMMYFUNCTION("REGEXREPLACE(A875,""^Trường\s*"","""")"),"THCS Hoạt Giang")</f>
        <v>THCS Hoạt Giang</v>
      </c>
    </row>
    <row r="876">
      <c r="A876" s="1" t="s">
        <v>1302</v>
      </c>
      <c r="B876" s="2" t="s">
        <v>1303</v>
      </c>
      <c r="C876" s="2" t="s">
        <v>795</v>
      </c>
      <c r="E876" s="2" t="str">
        <f>IFERROR(__xludf.DUMMYFUNCTION("REGEXREPLACE(A876,""^Trường\s*"","""")"),"THCS Yên Dương")</f>
        <v>THCS Yên Dương</v>
      </c>
    </row>
    <row r="877">
      <c r="A877" s="1" t="s">
        <v>1304</v>
      </c>
      <c r="B877" s="2" t="s">
        <v>1305</v>
      </c>
      <c r="C877" s="2" t="s">
        <v>703</v>
      </c>
      <c r="E877" s="2" t="str">
        <f>IFERROR(__xludf.DUMMYFUNCTION("REGEXREPLACE(A877,""^Trường\s*"","""")"),"THCS Hà Trung")</f>
        <v>THCS Hà Trung</v>
      </c>
    </row>
    <row r="878">
      <c r="A878" s="1" t="s">
        <v>1306</v>
      </c>
      <c r="B878" s="2" t="s">
        <v>1307</v>
      </c>
      <c r="C878" s="2" t="s">
        <v>703</v>
      </c>
      <c r="E878" s="2" t="str">
        <f>IFERROR(__xludf.DUMMYFUNCTION("REGEXREPLACE(A878,""^Trường\s*"","""")"),"THCS Lý Thường Kiệt")</f>
        <v>THCS Lý Thường Kiệt</v>
      </c>
    </row>
    <row r="879">
      <c r="A879" s="1" t="s">
        <v>1308</v>
      </c>
      <c r="B879" s="2" t="s">
        <v>1309</v>
      </c>
      <c r="C879" s="2" t="s">
        <v>1310</v>
      </c>
      <c r="E879" s="2" t="str">
        <f>IFERROR(__xludf.DUMMYFUNCTION("REGEXREPLACE(A879,""^Trường\s*"","""")"),"THCS Hà Lĩnh")</f>
        <v>THCS Hà Lĩnh</v>
      </c>
    </row>
    <row r="880">
      <c r="A880" s="1" t="s">
        <v>1311</v>
      </c>
      <c r="B880" s="2" t="s">
        <v>1312</v>
      </c>
      <c r="C880" s="2" t="s">
        <v>1310</v>
      </c>
      <c r="E880" s="2" t="str">
        <f>IFERROR(__xludf.DUMMYFUNCTION("REGEXREPLACE(A880,""^Trường\s*"","""")"),"THCS Hà Sơn")</f>
        <v>THCS Hà Sơn</v>
      </c>
    </row>
    <row r="881">
      <c r="A881" s="1" t="s">
        <v>1313</v>
      </c>
      <c r="B881" s="2" t="s">
        <v>1314</v>
      </c>
      <c r="C881" s="2" t="s">
        <v>703</v>
      </c>
      <c r="E881" s="2" t="str">
        <f>IFERROR(__xludf.DUMMYFUNCTION("REGEXREPLACE(A881,""^Trường\s*"","""")"),"THCS Hà Đông")</f>
        <v>THCS Hà Đông</v>
      </c>
    </row>
    <row r="882">
      <c r="A882" s="1" t="s">
        <v>1315</v>
      </c>
      <c r="B882" s="2" t="s">
        <v>1316</v>
      </c>
      <c r="C882" s="2" t="s">
        <v>703</v>
      </c>
      <c r="E882" s="2" t="str">
        <f>IFERROR(__xludf.DUMMYFUNCTION("REGEXREPLACE(A882,""^Trường\s*"","""")"),"THCS Yến Sơn")</f>
        <v>THCS Yến Sơn</v>
      </c>
    </row>
    <row r="883">
      <c r="A883" s="1" t="s">
        <v>1317</v>
      </c>
      <c r="B883" s="2" t="s">
        <v>1318</v>
      </c>
      <c r="C883" s="2" t="s">
        <v>795</v>
      </c>
      <c r="E883" s="2" t="str">
        <f>IFERROR(__xludf.DUMMYFUNCTION("REGEXREPLACE(A883,""^Trường\s*"","""")"),"THCS Hà Bình")</f>
        <v>THCS Hà Bình</v>
      </c>
    </row>
    <row r="884">
      <c r="A884" s="1" t="s">
        <v>1319</v>
      </c>
      <c r="B884" s="2" t="s">
        <v>1320</v>
      </c>
      <c r="C884" s="2" t="s">
        <v>1321</v>
      </c>
      <c r="E884" s="2" t="str">
        <f>IFERROR(__xludf.DUMMYFUNCTION("REGEXREPLACE(A884,""^Trường\s*"","""")"),"THCS Phú Hải Toại")</f>
        <v>THCS Phú Hải Toại</v>
      </c>
    </row>
    <row r="885">
      <c r="A885" s="1" t="s">
        <v>1322</v>
      </c>
      <c r="B885" s="2" t="s">
        <v>1323</v>
      </c>
      <c r="C885" s="2" t="s">
        <v>1321</v>
      </c>
      <c r="E885" s="2" t="str">
        <f>IFERROR(__xludf.DUMMYFUNCTION("REGEXREPLACE(A885,""^Trường\s*"","""")"),"THCS Hà Thái")</f>
        <v>THCS Hà Thái</v>
      </c>
    </row>
    <row r="886">
      <c r="A886" s="1" t="s">
        <v>1324</v>
      </c>
      <c r="B886" s="2" t="s">
        <v>1325</v>
      </c>
      <c r="C886" s="2" t="s">
        <v>1321</v>
      </c>
      <c r="E886" s="2" t="str">
        <f>IFERROR(__xludf.DUMMYFUNCTION("REGEXREPLACE(A886,""^Trường\s*"","""")"),"THCS Hà Lai")</f>
        <v>THCS Hà Lai</v>
      </c>
    </row>
    <row r="887">
      <c r="A887" s="1" t="s">
        <v>1326</v>
      </c>
      <c r="B887" s="2" t="s">
        <v>1327</v>
      </c>
      <c r="C887" s="2" t="s">
        <v>31</v>
      </c>
      <c r="E887" s="2" t="str">
        <f>IFERROR(__xludf.DUMMYFUNCTION("REGEXREPLACE(A887,""^Trường\s*"","""")"),"THCS Hà Vinh")</f>
        <v>THCS Hà Vinh</v>
      </c>
    </row>
    <row r="888">
      <c r="A888" s="1" t="s">
        <v>1328</v>
      </c>
      <c r="B888" s="2" t="s">
        <v>1329</v>
      </c>
      <c r="C888" s="2" t="s">
        <v>1321</v>
      </c>
      <c r="E888" s="2" t="str">
        <f>IFERROR(__xludf.DUMMYFUNCTION("REGEXREPLACE(A888,""^Trường\s*"","""")"),"THCS Hà Châu")</f>
        <v>THCS Hà Châu</v>
      </c>
    </row>
    <row r="889">
      <c r="A889" s="1" t="s">
        <v>1331</v>
      </c>
      <c r="B889" s="2" t="s">
        <v>1332</v>
      </c>
      <c r="C889" s="2" t="s">
        <v>1310</v>
      </c>
      <c r="E889" s="2" t="str">
        <f>IFERROR(__xludf.DUMMYFUNCTION("REGEXREPLACE(A889,""^Trường\s*"","""")"),"THCS Hà Tiến")</f>
        <v>THCS Hà Tiến</v>
      </c>
    </row>
    <row r="890">
      <c r="A890" s="1" t="s">
        <v>1334</v>
      </c>
      <c r="B890" s="2" t="s">
        <v>1336</v>
      </c>
      <c r="C890" s="2" t="s">
        <v>1310</v>
      </c>
      <c r="E890" s="2" t="str">
        <f>IFERROR(__xludf.DUMMYFUNCTION("REGEXREPLACE(A890,""^Trường\s*"","""")"),"THCS Hà Tân")</f>
        <v>THCS Hà Tân</v>
      </c>
    </row>
    <row r="891">
      <c r="A891" s="1" t="s">
        <v>1339</v>
      </c>
      <c r="B891" s="2" t="s">
        <v>1340</v>
      </c>
      <c r="C891" s="2" t="s">
        <v>948</v>
      </c>
      <c r="E891" s="2" t="str">
        <f>IFERROR(__xludf.DUMMYFUNCTION("REGEXREPLACE(A891,""^Trường\s*"","""")"),"THCS Hà Giang")</f>
        <v>THCS Hà Giang</v>
      </c>
    </row>
    <row r="892">
      <c r="A892" s="1" t="s">
        <v>1347</v>
      </c>
      <c r="B892" s="2" t="s">
        <v>1349</v>
      </c>
      <c r="C892" s="2" t="s">
        <v>948</v>
      </c>
      <c r="E892" s="2" t="str">
        <f>IFERROR(__xludf.DUMMYFUNCTION("REGEXREPLACE(A892,""^Trường\s*"","""")"),"THCS Hà Long")</f>
        <v>THCS Hà Long</v>
      </c>
    </row>
    <row r="893">
      <c r="A893" s="1" t="s">
        <v>1354</v>
      </c>
      <c r="B893" s="2" t="s">
        <v>1357</v>
      </c>
      <c r="C893" s="2" t="s">
        <v>948</v>
      </c>
      <c r="E893" s="2" t="str">
        <f>IFERROR(__xludf.DUMMYFUNCTION("REGEXREPLACE(A893,""^Trường\s*"","""")"),"THCS Hà Bắc")</f>
        <v>THCS Hà Bắc</v>
      </c>
    </row>
    <row r="894">
      <c r="A894" s="1" t="s">
        <v>1360</v>
      </c>
      <c r="B894" s="2" t="s">
        <v>1361</v>
      </c>
      <c r="C894" s="2" t="s">
        <v>1369</v>
      </c>
      <c r="E894" s="2" t="str">
        <f>IFERROR(__xludf.DUMMYFUNCTION("REGEXREPLACE(A894,""^Trường\s*"","""")"),"THCS Vĩnh Quang")</f>
        <v>THCS Vĩnh Quang</v>
      </c>
    </row>
    <row r="895">
      <c r="A895" s="1" t="s">
        <v>1371</v>
      </c>
      <c r="B895" s="2" t="s">
        <v>1374</v>
      </c>
      <c r="C895" s="2" t="s">
        <v>619</v>
      </c>
      <c r="E895" s="2" t="str">
        <f>IFERROR(__xludf.DUMMYFUNCTION("REGEXREPLACE(A895,""^Trường\s*"","""")"),"THCS Vĩnh An")</f>
        <v>THCS Vĩnh An</v>
      </c>
    </row>
    <row r="896">
      <c r="A896" s="1" t="s">
        <v>1378</v>
      </c>
      <c r="B896" s="2" t="s">
        <v>1381</v>
      </c>
      <c r="C896" s="2" t="s">
        <v>619</v>
      </c>
      <c r="E896" s="2" t="str">
        <f>IFERROR(__xludf.DUMMYFUNCTION("REGEXREPLACE(A896,""^Trường\s*"","""")"),"THCS Vĩnh Thịnh")</f>
        <v>THCS Vĩnh Thịnh</v>
      </c>
    </row>
    <row r="897">
      <c r="A897" s="1" t="s">
        <v>1386</v>
      </c>
      <c r="B897" s="2" t="s">
        <v>1389</v>
      </c>
      <c r="C897" s="2" t="s">
        <v>619</v>
      </c>
      <c r="E897" s="2" t="str">
        <f>IFERROR(__xludf.DUMMYFUNCTION("REGEXREPLACE(A897,""^Trường\s*"","""")"),"THCS Vĩnh Minh")</f>
        <v>THCS Vĩnh Minh</v>
      </c>
    </row>
    <row r="898">
      <c r="A898" s="1" t="s">
        <v>1395</v>
      </c>
      <c r="B898" s="2" t="s">
        <v>1397</v>
      </c>
      <c r="C898" s="2" t="s">
        <v>619</v>
      </c>
      <c r="E898" s="2" t="str">
        <f>IFERROR(__xludf.DUMMYFUNCTION("REGEXREPLACE(A898,""^Trường\s*"","""")"),"THCS Nguyễn Đan Quế")</f>
        <v>THCS Nguyễn Đan Quế</v>
      </c>
    </row>
    <row r="899">
      <c r="A899" s="1" t="s">
        <v>1403</v>
      </c>
      <c r="B899" s="2" t="s">
        <v>1404</v>
      </c>
      <c r="C899" s="2" t="s">
        <v>1407</v>
      </c>
      <c r="E899" s="2" t="str">
        <f>IFERROR(__xludf.DUMMYFUNCTION("REGEXREPLACE(A899,""^Trường\s*"","""")"),"THCS Vĩnh Hòa")</f>
        <v>THCS Vĩnh Hòa</v>
      </c>
    </row>
    <row r="900">
      <c r="A900" s="1" t="s">
        <v>1413</v>
      </c>
      <c r="B900" s="2" t="s">
        <v>1415</v>
      </c>
      <c r="C900" s="2" t="s">
        <v>1407</v>
      </c>
      <c r="E900" s="2" t="str">
        <f>IFERROR(__xludf.DUMMYFUNCTION("REGEXREPLACE(A900,""^Trường\s*"","""")"),"TH&amp;THCS Vĩnh Khang")</f>
        <v>TH&amp;THCS Vĩnh Khang</v>
      </c>
    </row>
    <row r="901">
      <c r="A901" s="1" t="s">
        <v>1423</v>
      </c>
      <c r="B901" s="2" t="s">
        <v>1425</v>
      </c>
      <c r="C901" s="2" t="s">
        <v>1407</v>
      </c>
      <c r="E901" s="2" t="str">
        <f>IFERROR(__xludf.DUMMYFUNCTION("REGEXREPLACE(A901,""^Trường\s*"","""")"),"THCS Vĩnh Ninh")</f>
        <v>THCS Vĩnh Ninh</v>
      </c>
    </row>
    <row r="902">
      <c r="A902" s="1" t="s">
        <v>1430</v>
      </c>
      <c r="B902" s="2" t="s">
        <v>1432</v>
      </c>
      <c r="C902" s="2" t="s">
        <v>1407</v>
      </c>
      <c r="E902" s="2" t="str">
        <f>IFERROR(__xludf.DUMMYFUNCTION("REGEXREPLACE(A902,""^Trường\s*"","""")"),"THCS Vĩnh Thành")</f>
        <v>THCS Vĩnh Thành</v>
      </c>
    </row>
    <row r="903">
      <c r="A903" s="1" t="s">
        <v>1438</v>
      </c>
      <c r="B903" s="2" t="s">
        <v>1440</v>
      </c>
      <c r="C903" s="2" t="s">
        <v>1407</v>
      </c>
      <c r="E903" s="2" t="str">
        <f>IFERROR(__xludf.DUMMYFUNCTION("REGEXREPLACE(A903,""^Trường\s*"","""")"),"THCS Vĩnh Phúc")</f>
        <v>THCS Vĩnh Phúc</v>
      </c>
    </row>
    <row r="904">
      <c r="A904" s="1" t="s">
        <v>1448</v>
      </c>
      <c r="B904" s="2" t="s">
        <v>1450</v>
      </c>
      <c r="C904" s="2" t="s">
        <v>1407</v>
      </c>
      <c r="E904" s="2" t="str">
        <f>IFERROR(__xludf.DUMMYFUNCTION("REGEXREPLACE(A904,""^Trường\s*"","""")"),"THCS Vĩnh Hưng")</f>
        <v>THCS Vĩnh Hưng</v>
      </c>
    </row>
    <row r="905">
      <c r="A905" s="1" t="s">
        <v>1457</v>
      </c>
      <c r="B905" s="2" t="s">
        <v>1458</v>
      </c>
      <c r="C905" s="2" t="s">
        <v>1369</v>
      </c>
      <c r="E905" s="2" t="str">
        <f>IFERROR(__xludf.DUMMYFUNCTION("REGEXREPLACE(A905,""^Trường\s*"","""")"),"THCS Vĩnh Yên")</f>
        <v>THCS Vĩnh Yên</v>
      </c>
    </row>
    <row r="906">
      <c r="A906" s="1" t="s">
        <v>1463</v>
      </c>
      <c r="B906" s="2" t="s">
        <v>1465</v>
      </c>
      <c r="C906" s="2" t="s">
        <v>1369</v>
      </c>
      <c r="E906" s="2" t="str">
        <f>IFERROR(__xludf.DUMMYFUNCTION("REGEXREPLACE(A906,""^Trường\s*"","""")"),"THamp;THCS Vĩnh Tiến")</f>
        <v>THamp;THCS Vĩnh Tiến</v>
      </c>
    </row>
    <row r="907">
      <c r="A907" s="1" t="s">
        <v>1292</v>
      </c>
      <c r="B907" s="2" t="s">
        <v>1471</v>
      </c>
      <c r="C907" s="2" t="s">
        <v>1369</v>
      </c>
      <c r="E907" s="2" t="str">
        <f>IFERROR(__xludf.DUMMYFUNCTION("REGEXREPLACE(A907,""^Trường\s*"","""")"),"THCS Phạm Văn Hinh")</f>
        <v>THCS Phạm Văn Hinh</v>
      </c>
    </row>
    <row r="908">
      <c r="A908" s="1" t="s">
        <v>1476</v>
      </c>
      <c r="B908" s="2" t="s">
        <v>1478</v>
      </c>
      <c r="C908" s="2" t="s">
        <v>1407</v>
      </c>
      <c r="E908" s="2" t="str">
        <f>IFERROR(__xludf.DUMMYFUNCTION("REGEXREPLACE(A908,""^Trường\s*"","""")"),"THCS Tây Đô")</f>
        <v>THCS Tây Đô</v>
      </c>
    </row>
    <row r="909">
      <c r="A909" s="1" t="s">
        <v>641</v>
      </c>
      <c r="B909" s="2" t="s">
        <v>644</v>
      </c>
      <c r="C909" s="2" t="s">
        <v>619</v>
      </c>
      <c r="E909" s="2" t="str">
        <f>IFERROR(__xludf.DUMMYFUNCTION("REGEXREPLACE(A909,""^Trường\s*"","""")"),"TH&amp;THCS Vĩnh Tân")</f>
        <v>TH&amp;THCS Vĩnh Tân</v>
      </c>
    </row>
    <row r="910">
      <c r="A910" s="1" t="s">
        <v>1455</v>
      </c>
      <c r="B910" s="2" t="s">
        <v>1456</v>
      </c>
      <c r="C910" s="2" t="s">
        <v>1452</v>
      </c>
      <c r="E910" s="2" t="str">
        <f>IFERROR(__xludf.DUMMYFUNCTION("REGEXREPLACE(A910,""^Trường\s*"","""")"),"TH,THCS&amp;THPT Nobel School VIII")</f>
        <v>TH,THCS&amp;THPT Nobel School VIII</v>
      </c>
    </row>
    <row r="911">
      <c r="A911" s="1" t="s">
        <v>1490</v>
      </c>
      <c r="B911" s="2" t="s">
        <v>1492</v>
      </c>
      <c r="C911" s="2" t="s">
        <v>1493</v>
      </c>
      <c r="E911" s="2" t="str">
        <f>IFERROR(__xludf.DUMMYFUNCTION("REGEXREPLACE(A911,""^Trường\s*"","""")"),"THCS Quý Lộc")</f>
        <v>THCS Quý Lộc</v>
      </c>
    </row>
    <row r="912">
      <c r="A912" s="1" t="s">
        <v>1496</v>
      </c>
      <c r="B912" s="2" t="s">
        <v>1497</v>
      </c>
      <c r="C912" s="2" t="s">
        <v>1479</v>
      </c>
      <c r="E912" s="2" t="str">
        <f>IFERROR(__xludf.DUMMYFUNCTION("REGEXREPLACE(A912,""^Trường\s*"","""")"),"THCS Yên Trung")</f>
        <v>THCS Yên Trung</v>
      </c>
    </row>
    <row r="913">
      <c r="A913" s="1" t="s">
        <v>1500</v>
      </c>
      <c r="B913" s="2" t="s">
        <v>1502</v>
      </c>
      <c r="C913" s="2" t="s">
        <v>1493</v>
      </c>
      <c r="E913" s="2" t="str">
        <f>IFERROR(__xludf.DUMMYFUNCTION("REGEXREPLACE(A913,""^Trường\s*"","""")"),"THCS Yên Thọ")</f>
        <v>THCS Yên Thọ</v>
      </c>
    </row>
    <row r="914">
      <c r="A914" s="1" t="s">
        <v>1506</v>
      </c>
      <c r="B914" s="2" t="s">
        <v>1508</v>
      </c>
      <c r="C914" s="2" t="s">
        <v>1493</v>
      </c>
      <c r="E914" s="2" t="str">
        <f>IFERROR(__xludf.DUMMYFUNCTION("REGEXREPLACE(A914,""^Trường\s*"","""")"),"THCS Yên Lâm")</f>
        <v>THCS Yên Lâm</v>
      </c>
    </row>
    <row r="915">
      <c r="A915" s="1" t="s">
        <v>1511</v>
      </c>
      <c r="B915" s="2" t="s">
        <v>1513</v>
      </c>
      <c r="C915" s="2" t="s">
        <v>32</v>
      </c>
      <c r="E915" s="2" t="str">
        <f>IFERROR(__xludf.DUMMYFUNCTION("REGEXREPLACE(A915,""^Trường\s*"","""")"),"THCS Yên Tâm")</f>
        <v>THCS Yên Tâm</v>
      </c>
    </row>
    <row r="916">
      <c r="A916" s="1" t="s">
        <v>1516</v>
      </c>
      <c r="B916" s="2" t="s">
        <v>1517</v>
      </c>
      <c r="C916" s="2" t="s">
        <v>32</v>
      </c>
      <c r="E916" s="2" t="str">
        <f>IFERROR(__xludf.DUMMYFUNCTION("REGEXREPLACE(A916,""^Trường\s*"","""")"),"THCS Yên Phú")</f>
        <v>THCS Yên Phú</v>
      </c>
    </row>
    <row r="917">
      <c r="A917" s="1" t="s">
        <v>1520</v>
      </c>
      <c r="B917" s="2" t="s">
        <v>1522</v>
      </c>
      <c r="C917" s="2" t="s">
        <v>1479</v>
      </c>
      <c r="E917" s="2" t="str">
        <f>IFERROR(__xludf.DUMMYFUNCTION("REGEXREPLACE(A917,""^Trường\s*"","""")"),"THCS Yên Phong")</f>
        <v>THCS Yên Phong</v>
      </c>
    </row>
    <row r="918">
      <c r="A918" s="1" t="s">
        <v>1525</v>
      </c>
      <c r="B918" s="2" t="s">
        <v>1526</v>
      </c>
      <c r="C918" s="2" t="s">
        <v>1479</v>
      </c>
      <c r="E918" s="2" t="str">
        <f>IFERROR(__xludf.DUMMYFUNCTION("REGEXREPLACE(A918,""^Trường\s*"","""")"),"THCS Yên Thái")</f>
        <v>THCS Yên Thái</v>
      </c>
    </row>
    <row r="919">
      <c r="A919" s="1" t="s">
        <v>1529</v>
      </c>
      <c r="B919" s="2" t="s">
        <v>1532</v>
      </c>
      <c r="C919" s="2" t="s">
        <v>1479</v>
      </c>
      <c r="E919" s="2" t="str">
        <f>IFERROR(__xludf.DUMMYFUNCTION("REGEXREPLACE(A919,""^Trường\s*"","""")"),"THCS Yên Trường")</f>
        <v>THCS Yên Trường</v>
      </c>
    </row>
    <row r="920">
      <c r="A920" s="1" t="s">
        <v>1536</v>
      </c>
      <c r="B920" s="2" t="s">
        <v>1537</v>
      </c>
      <c r="C920" s="2" t="s">
        <v>1538</v>
      </c>
      <c r="E920" s="2" t="str">
        <f>IFERROR(__xludf.DUMMYFUNCTION("REGEXREPLACE(A920,""^Trường\s*"","""")"),"THCS Yên Hùng")</f>
        <v>THCS Yên Hùng</v>
      </c>
    </row>
    <row r="921">
      <c r="A921" s="1" t="s">
        <v>1539</v>
      </c>
      <c r="B921" s="2" t="s">
        <v>1540</v>
      </c>
      <c r="C921" s="2" t="s">
        <v>1538</v>
      </c>
      <c r="E921" s="2" t="str">
        <f>IFERROR(__xludf.DUMMYFUNCTION("REGEXREPLACE(A921,""^Trường\s*"","""")"),"THCS Hà Tông Huân")</f>
        <v>THCS Hà Tông Huân</v>
      </c>
    </row>
    <row r="922">
      <c r="A922" s="1" t="s">
        <v>1541</v>
      </c>
      <c r="B922" s="2" t="s">
        <v>1542</v>
      </c>
      <c r="C922" s="2" t="s">
        <v>1538</v>
      </c>
      <c r="E922" s="2" t="str">
        <f>IFERROR(__xludf.DUMMYFUNCTION("REGEXREPLACE(A922,""^Trường\s*"","""")"),"TH&amp;THCS Yên Ninh")</f>
        <v>TH&amp;THCS Yên Ninh</v>
      </c>
    </row>
    <row r="923">
      <c r="A923" s="1" t="s">
        <v>1547</v>
      </c>
      <c r="B923" s="2" t="s">
        <v>1550</v>
      </c>
      <c r="C923" s="2" t="s">
        <v>1538</v>
      </c>
      <c r="E923" s="2" t="str">
        <f>IFERROR(__xludf.DUMMYFUNCTION("REGEXREPLACE(A923,""^Trường\s*"","""")"),"THCS Yên Lạc")</f>
        <v>THCS Yên Lạc</v>
      </c>
    </row>
    <row r="924">
      <c r="A924" s="1" t="s">
        <v>1553</v>
      </c>
      <c r="B924" s="2" t="s">
        <v>1554</v>
      </c>
      <c r="C924" s="2" t="s">
        <v>1452</v>
      </c>
      <c r="E924" s="2" t="str">
        <f>IFERROR(__xludf.DUMMYFUNCTION("REGEXREPLACE(A924,""^Trường\s*"","""")"),"THCS Định Tăng")</f>
        <v>THCS Định Tăng</v>
      </c>
    </row>
    <row r="925">
      <c r="A925" s="1" t="s">
        <v>1556</v>
      </c>
      <c r="B925" s="2" t="s">
        <v>1557</v>
      </c>
      <c r="C925" s="2" t="s">
        <v>1452</v>
      </c>
      <c r="E925" s="2" t="str">
        <f>IFERROR(__xludf.DUMMYFUNCTION("REGEXREPLACE(A925,""^Trường\s*"","""")"),"THCS Định Tường")</f>
        <v>THCS Định Tường</v>
      </c>
    </row>
    <row r="926">
      <c r="A926" s="1" t="s">
        <v>1560</v>
      </c>
      <c r="B926" s="2" t="s">
        <v>1562</v>
      </c>
      <c r="C926" s="2" t="s">
        <v>1452</v>
      </c>
      <c r="E926" s="2" t="str">
        <f>IFERROR(__xludf.DUMMYFUNCTION("REGEXREPLACE(A926,""^Trường\s*"","""")"),"THCS Định Long")</f>
        <v>THCS Định Long</v>
      </c>
    </row>
    <row r="927">
      <c r="A927" s="1" t="s">
        <v>1565</v>
      </c>
      <c r="B927" s="2" t="s">
        <v>1567</v>
      </c>
      <c r="C927" s="2" t="s">
        <v>1452</v>
      </c>
      <c r="E927" s="2" t="str">
        <f>IFERROR(__xludf.DUMMYFUNCTION("REGEXREPLACE(A927,""^Trường\s*"","""")"),"THCS Định Liên")</f>
        <v>THCS Định Liên</v>
      </c>
    </row>
    <row r="928">
      <c r="A928" s="1" t="s">
        <v>1570</v>
      </c>
      <c r="B928" s="2" t="s">
        <v>1571</v>
      </c>
      <c r="C928" s="2" t="s">
        <v>883</v>
      </c>
      <c r="E928" s="2" t="str">
        <f>IFERROR(__xludf.DUMMYFUNCTION("REGEXREPLACE(A928,""^Trường\s*"","""")"),"THCS Định Tân")</f>
        <v>THCS Định Tân</v>
      </c>
    </row>
    <row r="929">
      <c r="A929" s="1" t="s">
        <v>1574</v>
      </c>
      <c r="B929" s="2" t="s">
        <v>1575</v>
      </c>
      <c r="C929" s="2" t="s">
        <v>883</v>
      </c>
      <c r="E929" s="2" t="str">
        <f>IFERROR(__xludf.DUMMYFUNCTION("REGEXREPLACE(A929,""^Trường\s*"","""")"),"THCS Định Tiến")</f>
        <v>THCS Định Tiến</v>
      </c>
    </row>
    <row r="930">
      <c r="A930" s="1" t="s">
        <v>1579</v>
      </c>
      <c r="B930" s="2" t="s">
        <v>1580</v>
      </c>
      <c r="C930" s="2" t="s">
        <v>883</v>
      </c>
      <c r="E930" s="2" t="str">
        <f>IFERROR(__xludf.DUMMYFUNCTION("REGEXREPLACE(A930,""^Trường\s*"","""")"),"THCS Định Hưng")</f>
        <v>THCS Định Hưng</v>
      </c>
    </row>
    <row r="931">
      <c r="A931" s="1" t="s">
        <v>1581</v>
      </c>
      <c r="B931" s="2" t="s">
        <v>1582</v>
      </c>
      <c r="C931" s="2" t="s">
        <v>883</v>
      </c>
      <c r="E931" s="2" t="str">
        <f>IFERROR(__xludf.DUMMYFUNCTION("REGEXREPLACE(A931,""^Trường\s*"","""")"),"THCS Định Hải")</f>
        <v>THCS Định Hải</v>
      </c>
    </row>
    <row r="932">
      <c r="A932" s="1" t="s">
        <v>1585</v>
      </c>
      <c r="B932" s="2" t="s">
        <v>1587</v>
      </c>
      <c r="C932" s="2" t="s">
        <v>864</v>
      </c>
      <c r="E932" s="2" t="str">
        <f>IFERROR(__xludf.DUMMYFUNCTION("REGEXREPLACE(A932,""^Trường\s*"","""")"),"THCS Định Hòa")</f>
        <v>THCS Định Hòa</v>
      </c>
    </row>
    <row r="933">
      <c r="A933" s="1" t="s">
        <v>1594</v>
      </c>
      <c r="B933" s="2" t="s">
        <v>1595</v>
      </c>
      <c r="C933" s="2" t="s">
        <v>864</v>
      </c>
      <c r="E933" s="2" t="str">
        <f>IFERROR(__xludf.DUMMYFUNCTION("REGEXREPLACE(A933,""^Trường\s*"","""")"),"THCS Định Bình")</f>
        <v>THCS Định Bình</v>
      </c>
    </row>
    <row r="934">
      <c r="A934" s="1" t="s">
        <v>1598</v>
      </c>
      <c r="B934" s="2" t="s">
        <v>1599</v>
      </c>
      <c r="C934" s="2" t="s">
        <v>864</v>
      </c>
      <c r="E934" s="2" t="str">
        <f>IFERROR(__xludf.DUMMYFUNCTION("REGEXREPLACE(A934,""^Trường\s*"","""")"),"THCS Định Thành")</f>
        <v>THCS Định Thành</v>
      </c>
    </row>
    <row r="935">
      <c r="A935" s="1" t="s">
        <v>1602</v>
      </c>
      <c r="B935" s="2" t="s">
        <v>1604</v>
      </c>
      <c r="C935" s="2" t="s">
        <v>864</v>
      </c>
      <c r="E935" s="2" t="str">
        <f>IFERROR(__xludf.DUMMYFUNCTION("REGEXREPLACE(A935,""^Trường\s*"","""")"),"THCS Định Công")</f>
        <v>THCS Định Công</v>
      </c>
    </row>
    <row r="936">
      <c r="A936" s="1" t="s">
        <v>1609</v>
      </c>
      <c r="B936" s="2" t="s">
        <v>1611</v>
      </c>
      <c r="C936" s="2" t="s">
        <v>1452</v>
      </c>
      <c r="E936" s="2" t="str">
        <f>IFERROR(__xludf.DUMMYFUNCTION("REGEXREPLACE(A936,""^Trường\s*"","""")"),"THCS Quán Lào")</f>
        <v>THCS Quán Lào</v>
      </c>
    </row>
    <row r="937">
      <c r="A937" s="1" t="s">
        <v>1614</v>
      </c>
      <c r="B937" s="2" t="s">
        <v>1615</v>
      </c>
      <c r="C937" s="2" t="s">
        <v>1452</v>
      </c>
      <c r="E937" s="2" t="str">
        <f>IFERROR(__xludf.DUMMYFUNCTION("REGEXREPLACE(A937,""^Trường\s*"","""")"),"THCS Lê Đình Kiên")</f>
        <v>THCS Lê Đình Kiên</v>
      </c>
    </row>
    <row r="938">
      <c r="A938" s="1" t="s">
        <v>1618</v>
      </c>
      <c r="B938" s="2" t="s">
        <v>1620</v>
      </c>
      <c r="C938" s="2" t="s">
        <v>1217</v>
      </c>
      <c r="E938" s="2" t="str">
        <f>IFERROR(__xludf.DUMMYFUNCTION("REGEXREPLACE(A938,""^Trường\s*"","""")"),"THCS Xuân Trường")</f>
        <v>THCS Xuân Trường</v>
      </c>
    </row>
    <row r="939">
      <c r="A939" s="1" t="s">
        <v>1623</v>
      </c>
      <c r="B939" s="2" t="s">
        <v>1625</v>
      </c>
      <c r="C939" s="2" t="s">
        <v>847</v>
      </c>
      <c r="E939" s="2" t="str">
        <f>IFERROR(__xludf.DUMMYFUNCTION("REGEXREPLACE(A939,""^Trường\s*"","""")"),"THCS Xuân Bái")</f>
        <v>THCS Xuân Bái</v>
      </c>
    </row>
    <row r="940">
      <c r="A940" s="1" t="s">
        <v>849</v>
      </c>
      <c r="B940" s="2" t="s">
        <v>1628</v>
      </c>
      <c r="C940" s="2" t="s">
        <v>847</v>
      </c>
      <c r="E940" s="2" t="str">
        <f>IFERROR(__xludf.DUMMYFUNCTION("REGEXREPLACE(A940,""^Trường\s*"","""")"),"THCS Lam Sơn")</f>
        <v>THCS Lam Sơn</v>
      </c>
    </row>
    <row r="941">
      <c r="A941" s="1" t="s">
        <v>1631</v>
      </c>
      <c r="B941" s="2" t="s">
        <v>1633</v>
      </c>
      <c r="C941" s="2" t="s">
        <v>1635</v>
      </c>
      <c r="E941" s="2" t="str">
        <f>IFERROR(__xludf.DUMMYFUNCTION("REGEXREPLACE(A941,""^Trường\s*"","""")"),"THCS Xuân Hòa")</f>
        <v>THCS Xuân Hòa</v>
      </c>
    </row>
    <row r="942">
      <c r="A942" s="1" t="s">
        <v>1637</v>
      </c>
      <c r="B942" s="2" t="s">
        <v>1639</v>
      </c>
      <c r="C942" s="2" t="s">
        <v>1640</v>
      </c>
      <c r="E942" s="2" t="str">
        <f>IFERROR(__xludf.DUMMYFUNCTION("REGEXREPLACE(A942,""^Trường\s*"","""")"),"THCS Xuân Phong")</f>
        <v>THCS Xuân Phong</v>
      </c>
    </row>
    <row r="943">
      <c r="A943" s="1" t="s">
        <v>1643</v>
      </c>
      <c r="B943" s="2" t="s">
        <v>1644</v>
      </c>
      <c r="C943" s="2" t="s">
        <v>1640</v>
      </c>
      <c r="E943" s="2" t="str">
        <f>IFERROR(__xludf.DUMMYFUNCTION("REGEXREPLACE(A943,""^Trường\s*"","""")"),"THCS Bắc Lương")</f>
        <v>THCS Bắc Lương</v>
      </c>
    </row>
    <row r="944">
      <c r="A944" s="1" t="s">
        <v>1648</v>
      </c>
      <c r="B944" s="2" t="s">
        <v>1650</v>
      </c>
      <c r="C944" s="2" t="s">
        <v>1217</v>
      </c>
      <c r="E944" s="2" t="str">
        <f>IFERROR(__xludf.DUMMYFUNCTION("REGEXREPLACE(A944,""^Trường\s*"","""")"),"THCS Thọ Xuân")</f>
        <v>THCS Thọ Xuân</v>
      </c>
    </row>
    <row r="945">
      <c r="A945" s="1" t="s">
        <v>1653</v>
      </c>
      <c r="B945" s="2" t="s">
        <v>1655</v>
      </c>
      <c r="C945" s="2" t="s">
        <v>1656</v>
      </c>
      <c r="E945" s="2" t="str">
        <f>IFERROR(__xludf.DUMMYFUNCTION("REGEXREPLACE(A945,""^Trường\s*"","""")"),"THCS Thọ Lâm")</f>
        <v>THCS Thọ Lâm</v>
      </c>
    </row>
    <row r="946">
      <c r="A946" s="1" t="s">
        <v>1659</v>
      </c>
      <c r="B946" s="2" t="s">
        <v>1660</v>
      </c>
      <c r="C946" s="2" t="s">
        <v>1656</v>
      </c>
      <c r="E946" s="2" t="str">
        <f>IFERROR(__xludf.DUMMYFUNCTION("REGEXREPLACE(A946,""^Trường\s*"","""")"),"THCS Sao Vàng")</f>
        <v>THCS Sao Vàng</v>
      </c>
    </row>
    <row r="947">
      <c r="A947" s="1" t="s">
        <v>1663</v>
      </c>
      <c r="B947" s="2" t="s">
        <v>1665</v>
      </c>
      <c r="C947" s="2" t="s">
        <v>1635</v>
      </c>
      <c r="E947" s="2" t="str">
        <f>IFERROR(__xludf.DUMMYFUNCTION("REGEXREPLACE(A947,""^Trường\s*"","""")"),"THCS Thọ Hải")</f>
        <v>THCS Thọ Hải</v>
      </c>
    </row>
    <row r="948">
      <c r="A948" s="1" t="s">
        <v>1667</v>
      </c>
      <c r="B948" s="2" t="s">
        <v>1669</v>
      </c>
      <c r="C948" s="2" t="s">
        <v>1217</v>
      </c>
      <c r="E948" s="2" t="str">
        <f>IFERROR(__xludf.DUMMYFUNCTION("REGEXREPLACE(A948,""^Trường\s*"","""")"),"THCS Xuân Hồng")</f>
        <v>THCS Xuân Hồng</v>
      </c>
    </row>
    <row r="949">
      <c r="A949" s="1" t="s">
        <v>1672</v>
      </c>
      <c r="B949" s="2" t="s">
        <v>1674</v>
      </c>
      <c r="C949" s="2" t="s">
        <v>1445</v>
      </c>
      <c r="E949" s="2" t="str">
        <f>IFERROR(__xludf.DUMMYFUNCTION("REGEXREPLACE(A949,""^Trường\s*"","""")"),"THCS Xuân Lai")</f>
        <v>THCS Xuân Lai</v>
      </c>
    </row>
    <row r="950">
      <c r="A950" s="1" t="s">
        <v>1677</v>
      </c>
      <c r="B950" s="2" t="s">
        <v>1678</v>
      </c>
      <c r="C950" s="2" t="s">
        <v>847</v>
      </c>
      <c r="E950" s="2" t="str">
        <f>IFERROR(__xludf.DUMMYFUNCTION("REGEXREPLACE(A950,""^Trường\s*"","""")"),"THCS Thọ Xương")</f>
        <v>THCS Thọ Xương</v>
      </c>
    </row>
    <row r="951">
      <c r="A951" s="1" t="s">
        <v>1682</v>
      </c>
      <c r="B951" s="2" t="s">
        <v>1684</v>
      </c>
      <c r="C951" s="2" t="s">
        <v>1640</v>
      </c>
      <c r="E951" s="2" t="str">
        <f>IFERROR(__xludf.DUMMYFUNCTION("REGEXREPLACE(A951,""^Trường\s*"","""")"),"THCS Nam Giang")</f>
        <v>THCS Nam Giang</v>
      </c>
    </row>
    <row r="952">
      <c r="A952" s="1" t="s">
        <v>1687</v>
      </c>
      <c r="B952" s="2" t="s">
        <v>1688</v>
      </c>
      <c r="C952" s="2" t="s">
        <v>1199</v>
      </c>
      <c r="E952" s="2" t="str">
        <f>IFERROR(__xludf.DUMMYFUNCTION("REGEXREPLACE(A952,""^Trường\s*"","""")"),"THCS Xuân Thiên")</f>
        <v>THCS Xuân Thiên</v>
      </c>
    </row>
    <row r="953">
      <c r="A953" s="1" t="s">
        <v>1689</v>
      </c>
      <c r="B953" s="2" t="s">
        <v>1690</v>
      </c>
      <c r="C953" s="2" t="s">
        <v>1640</v>
      </c>
      <c r="E953" s="2" t="str">
        <f>IFERROR(__xludf.DUMMYFUNCTION("REGEXREPLACE(A953,""^Trường\s*"","""")"),"THCS Tây Hồ")</f>
        <v>THCS Tây Hồ</v>
      </c>
    </row>
    <row r="954">
      <c r="A954" s="1" t="s">
        <v>1693</v>
      </c>
      <c r="B954" s="2" t="s">
        <v>1695</v>
      </c>
      <c r="C954" s="2" t="s">
        <v>1635</v>
      </c>
      <c r="E954" s="2" t="str">
        <f>IFERROR(__xludf.DUMMYFUNCTION("REGEXREPLACE(A954,""^Trường\s*"","""")"),"THCS Xuân Hưng")</f>
        <v>THCS Xuân Hưng</v>
      </c>
    </row>
    <row r="955">
      <c r="A955" s="1" t="s">
        <v>1698</v>
      </c>
      <c r="B955" s="2" t="s">
        <v>1700</v>
      </c>
      <c r="C955" s="2" t="s">
        <v>1656</v>
      </c>
      <c r="E955" s="2" t="str">
        <f>IFERROR(__xludf.DUMMYFUNCTION("REGEXREPLACE(A955,""^Trường\s*"","""")"),"THCS Xuân Sinh")</f>
        <v>THCS Xuân Sinh</v>
      </c>
    </row>
    <row r="956">
      <c r="A956" s="1" t="s">
        <v>1703</v>
      </c>
      <c r="B956" s="2" t="s">
        <v>1704</v>
      </c>
      <c r="C956" s="2" t="s">
        <v>1445</v>
      </c>
      <c r="E956" s="2" t="str">
        <f>IFERROR(__xludf.DUMMYFUNCTION("REGEXREPLACE(A956,""^Trường\s*"","""")"),"THCS Xuân Lập")</f>
        <v>THCS Xuân Lập</v>
      </c>
    </row>
    <row r="957">
      <c r="A957" s="1" t="s">
        <v>1707</v>
      </c>
      <c r="B957" s="2" t="s">
        <v>1708</v>
      </c>
      <c r="C957" s="2" t="s">
        <v>1709</v>
      </c>
      <c r="E957" s="2" t="str">
        <f>IFERROR(__xludf.DUMMYFUNCTION("REGEXREPLACE(A957,""^Trường\s*"","""")"),"THCS Xuân Tín")</f>
        <v>THCS Xuân Tín</v>
      </c>
    </row>
    <row r="958">
      <c r="A958" s="1" t="s">
        <v>1711</v>
      </c>
      <c r="B958" s="2" t="s">
        <v>1712</v>
      </c>
      <c r="C958" s="2" t="s">
        <v>1199</v>
      </c>
      <c r="E958" s="2" t="str">
        <f>IFERROR(__xludf.DUMMYFUNCTION("REGEXREPLACE(A958,""^Trường\s*"","""")"),"THCS Thuận Minh")</f>
        <v>THCS Thuận Minh</v>
      </c>
    </row>
    <row r="959">
      <c r="A959" s="1" t="s">
        <v>1713</v>
      </c>
      <c r="B959" s="2" t="s">
        <v>1714</v>
      </c>
      <c r="C959" s="2" t="s">
        <v>1656</v>
      </c>
      <c r="E959" s="2" t="str">
        <f>IFERROR(__xludf.DUMMYFUNCTION("REGEXREPLACE(A959,""^Trường\s*"","""")"),"THCS Xuân Phú")</f>
        <v>THCS Xuân Phú</v>
      </c>
    </row>
    <row r="960">
      <c r="A960" s="1" t="s">
        <v>1715</v>
      </c>
      <c r="B960" s="2" t="s">
        <v>1716</v>
      </c>
      <c r="C960" s="2" t="s">
        <v>1445</v>
      </c>
      <c r="E960" s="2" t="str">
        <f>IFERROR(__xludf.DUMMYFUNCTION("REGEXREPLACE(A960,""^Trường\s*"","""")"),"THCS Xuân Minh")</f>
        <v>THCS Xuân Minh</v>
      </c>
    </row>
    <row r="961">
      <c r="A961" s="1" t="s">
        <v>1736</v>
      </c>
      <c r="B961" s="2" t="s">
        <v>1738</v>
      </c>
      <c r="C961" s="2" t="s">
        <v>1709</v>
      </c>
      <c r="E961" s="2" t="str">
        <f>IFERROR(__xludf.DUMMYFUNCTION("REGEXREPLACE(A961,""^Trường\s*"","""")"),"THCS Quảng Phú")</f>
        <v>THCS Quảng Phú</v>
      </c>
    </row>
    <row r="962">
      <c r="A962" s="1" t="s">
        <v>1741</v>
      </c>
      <c r="B962" s="2" t="s">
        <v>1742</v>
      </c>
      <c r="C962" s="2" t="s">
        <v>1640</v>
      </c>
      <c r="E962" s="2" t="str">
        <f>IFERROR(__xludf.DUMMYFUNCTION("REGEXREPLACE(A962,""^Trường\s*"","""")"),"THCS Thọ Lộc")</f>
        <v>THCS Thọ Lộc</v>
      </c>
    </row>
    <row r="963">
      <c r="A963" s="1" t="s">
        <v>1745</v>
      </c>
      <c r="B963" s="2" t="s">
        <v>1746</v>
      </c>
      <c r="C963" s="2" t="s">
        <v>1217</v>
      </c>
      <c r="E963" s="2" t="str">
        <f>IFERROR(__xludf.DUMMYFUNCTION("REGEXREPLACE(A963,""^Trường\s*"","""")"),"THCS Xuân Giang")</f>
        <v>THCS Xuân Giang</v>
      </c>
    </row>
    <row r="964">
      <c r="A964" s="1" t="s">
        <v>1749</v>
      </c>
      <c r="B964" s="2" t="s">
        <v>1751</v>
      </c>
      <c r="C964" s="2" t="s">
        <v>1635</v>
      </c>
      <c r="E964" s="2" t="str">
        <f>IFERROR(__xludf.DUMMYFUNCTION("REGEXREPLACE(A964,""^Trường\s*"","""")"),"THCS Thọ Diên")</f>
        <v>THCS Thọ Diên</v>
      </c>
    </row>
    <row r="965">
      <c r="A965" s="1" t="s">
        <v>1754</v>
      </c>
      <c r="B965" s="2" t="s">
        <v>1756</v>
      </c>
      <c r="C965" s="2" t="s">
        <v>1445</v>
      </c>
      <c r="E965" s="2" t="str">
        <f>IFERROR(__xludf.DUMMYFUNCTION("REGEXREPLACE(A965,""^Trường\s*"","""")"),"THCS Trường Xuân")</f>
        <v>THCS Trường Xuân</v>
      </c>
    </row>
    <row r="966">
      <c r="A966" s="1" t="s">
        <v>1759</v>
      </c>
      <c r="B966" s="2" t="s">
        <v>1760</v>
      </c>
      <c r="C966" s="2" t="s">
        <v>1709</v>
      </c>
      <c r="E966" s="2" t="str">
        <f>IFERROR(__xludf.DUMMYFUNCTION("REGEXREPLACE(A966,""^Trường\s*"","""")"),"THCS Phú Xuân")</f>
        <v>THCS Phú Xuân</v>
      </c>
    </row>
    <row r="967">
      <c r="A967" s="1" t="s">
        <v>1763</v>
      </c>
      <c r="B967" s="2" t="s">
        <v>1765</v>
      </c>
      <c r="C967" s="2" t="s">
        <v>1199</v>
      </c>
      <c r="E967" s="2" t="str">
        <f>IFERROR(__xludf.DUMMYFUNCTION("REGEXREPLACE(A967,""^Trường\s*"","""")"),"THCS Thọ Lập")</f>
        <v>THCS Thọ Lập</v>
      </c>
    </row>
    <row r="968">
      <c r="A968" s="1" t="s">
        <v>1769</v>
      </c>
      <c r="B968" s="2" t="s">
        <v>1771</v>
      </c>
      <c r="C968" s="2" t="s">
        <v>1217</v>
      </c>
      <c r="E968" s="2" t="str">
        <f>IFERROR(__xludf.DUMMYFUNCTION("REGEXREPLACE(A968,""^Trường\s*"","""")"),"THCS Lê Thánh Tông")</f>
        <v>THCS Lê Thánh Tông</v>
      </c>
    </row>
    <row r="969">
      <c r="A969" s="1" t="s">
        <v>1774</v>
      </c>
      <c r="B969" s="2" t="s">
        <v>1775</v>
      </c>
      <c r="C969" s="2" t="s">
        <v>1776</v>
      </c>
      <c r="E969" s="2" t="str">
        <f>IFERROR(__xludf.DUMMYFUNCTION("REGEXREPLACE(A969,""^Trường\s*"","""")"),"THCS Xuân Thắng")</f>
        <v>THCS Xuân Thắng</v>
      </c>
    </row>
    <row r="970">
      <c r="A970" s="1" t="s">
        <v>1779</v>
      </c>
      <c r="B970" s="2" t="s">
        <v>1780</v>
      </c>
      <c r="C970" s="2" t="s">
        <v>1782</v>
      </c>
      <c r="E970" s="2" t="str">
        <f>IFERROR(__xludf.DUMMYFUNCTION("REGEXREPLACE(A970,""^Trường\s*"","""")"),"THCS Xuân Lẹ")</f>
        <v>THCS Xuân Lẹ</v>
      </c>
    </row>
    <row r="971">
      <c r="A971" s="1" t="s">
        <v>1783</v>
      </c>
      <c r="B971" s="2" t="s">
        <v>1785</v>
      </c>
      <c r="C971" s="2" t="s">
        <v>585</v>
      </c>
      <c r="E971" s="2" t="str">
        <f>IFERROR(__xludf.DUMMYFUNCTION("REGEXREPLACE(A971,""^Trường\s*"","""")"),"THCS Bát Mọt")</f>
        <v>THCS Bát Mọt</v>
      </c>
    </row>
    <row r="972">
      <c r="A972" s="1" t="s">
        <v>1788</v>
      </c>
      <c r="B972" s="2" t="s">
        <v>1789</v>
      </c>
      <c r="C972" s="2" t="s">
        <v>879</v>
      </c>
      <c r="E972" s="2" t="str">
        <f>IFERROR(__xludf.DUMMYFUNCTION("REGEXREPLACE(A972,""^Trường\s*"","""")"),"THCS Luận Thành")</f>
        <v>THCS Luận Thành</v>
      </c>
    </row>
    <row r="973">
      <c r="A973" s="1" t="s">
        <v>1792</v>
      </c>
      <c r="B973" s="2" t="s">
        <v>1793</v>
      </c>
      <c r="C973" s="2" t="s">
        <v>1233</v>
      </c>
      <c r="E973" s="2" t="str">
        <f>IFERROR(__xludf.DUMMYFUNCTION("REGEXREPLACE(A973,""^Trường\s*"","""")"),"THCS Xuân Dương")</f>
        <v>THCS Xuân Dương</v>
      </c>
    </row>
    <row r="974">
      <c r="A974" s="1" t="s">
        <v>1796</v>
      </c>
      <c r="B974" s="2" t="s">
        <v>1798</v>
      </c>
      <c r="C974" s="2" t="s">
        <v>1233</v>
      </c>
      <c r="E974" s="2" t="str">
        <f>IFERROR(__xludf.DUMMYFUNCTION("REGEXREPLACE(A974,""^Trường\s*"","""")"),"THCS Thọ Thanh")</f>
        <v>THCS Thọ Thanh</v>
      </c>
    </row>
    <row r="975">
      <c r="A975" s="1" t="s">
        <v>1802</v>
      </c>
      <c r="B975" s="2" t="s">
        <v>1804</v>
      </c>
      <c r="C975" s="2" t="s">
        <v>879</v>
      </c>
      <c r="E975" s="2" t="str">
        <f>IFERROR(__xludf.DUMMYFUNCTION("REGEXREPLACE(A975,""^Trường\s*"","""")"),"THCS Xuân Cao")</f>
        <v>THCS Xuân Cao</v>
      </c>
    </row>
    <row r="976">
      <c r="A976" s="1" t="s">
        <v>1807</v>
      </c>
      <c r="B976" s="2" t="s">
        <v>1808</v>
      </c>
      <c r="C976" s="2" t="s">
        <v>1809</v>
      </c>
      <c r="E976" s="2" t="str">
        <f>IFERROR(__xludf.DUMMYFUNCTION("REGEXREPLACE(A976,""^Trường\s*"","""")"),"PTDTBT-THCS Luận Khê")</f>
        <v>PTDTBT-THCS Luận Khê</v>
      </c>
    </row>
    <row r="977">
      <c r="A977" s="1" t="s">
        <v>1810</v>
      </c>
      <c r="B977" s="2" t="s">
        <v>1811</v>
      </c>
      <c r="C977" s="2" t="s">
        <v>1782</v>
      </c>
      <c r="E977" s="2" t="str">
        <f>IFERROR(__xludf.DUMMYFUNCTION("REGEXREPLACE(A977,""^Trường\s*"","""")"),"PTDTBT-THCS Xuân Chinh")</f>
        <v>PTDTBT-THCS Xuân Chinh</v>
      </c>
    </row>
    <row r="978">
      <c r="A978" s="1" t="s">
        <v>1814</v>
      </c>
      <c r="B978" s="2" t="s">
        <v>1816</v>
      </c>
      <c r="C978" s="2" t="s">
        <v>1819</v>
      </c>
      <c r="E978" s="2" t="str">
        <f>IFERROR(__xludf.DUMMYFUNCTION("REGEXREPLACE(A978,""^Trường\s*"","""")"),"THCS Yên Nhân")</f>
        <v>THCS Yên Nhân</v>
      </c>
    </row>
    <row r="979">
      <c r="A979" s="1" t="s">
        <v>1821</v>
      </c>
      <c r="B979" s="2" t="s">
        <v>1823</v>
      </c>
      <c r="C979" s="2" t="s">
        <v>1419</v>
      </c>
      <c r="E979" s="2" t="str">
        <f>IFERROR(__xludf.DUMMYFUNCTION("REGEXREPLACE(A979,""^Trường\s*"","""")"),"THCS Vạn Xuân")</f>
        <v>THCS Vạn Xuân</v>
      </c>
    </row>
    <row r="980">
      <c r="A980" s="1" t="s">
        <v>1824</v>
      </c>
      <c r="B980" s="2" t="s">
        <v>1825</v>
      </c>
      <c r="C980" s="2" t="s">
        <v>1776</v>
      </c>
      <c r="E980" s="2" t="str">
        <f>IFERROR(__xludf.DUMMYFUNCTION("REGEXREPLACE(A980,""^Trường\s*"","""")"),"THCS Xuân Lộc")</f>
        <v>THCS Xuân Lộc</v>
      </c>
    </row>
    <row r="981">
      <c r="A981" s="1" t="s">
        <v>1828</v>
      </c>
      <c r="B981" s="2" t="s">
        <v>1830</v>
      </c>
      <c r="C981" s="2" t="s">
        <v>1512</v>
      </c>
      <c r="E981" s="2" t="str">
        <f>IFERROR(__xludf.DUMMYFUNCTION("REGEXREPLACE(A981,""^Trường\s*"","""")"),"THCS Lương Sơn")</f>
        <v>THCS Lương Sơn</v>
      </c>
    </row>
    <row r="982">
      <c r="A982" s="1" t="s">
        <v>1834</v>
      </c>
      <c r="B982" s="2" t="s">
        <v>1836</v>
      </c>
      <c r="C982" s="2" t="s">
        <v>1233</v>
      </c>
      <c r="E982" s="2" t="str">
        <f>IFERROR(__xludf.DUMMYFUNCTION("REGEXREPLACE(A982,""^Trường\s*"","""")"),"THCS Ngọc Phụng")</f>
        <v>THCS Ngọc Phụng</v>
      </c>
    </row>
    <row r="983">
      <c r="A983" s="1" t="s">
        <v>1839</v>
      </c>
      <c r="B983" s="2" t="s">
        <v>1840</v>
      </c>
      <c r="C983" s="2" t="s">
        <v>1809</v>
      </c>
      <c r="E983" s="2" t="str">
        <f>IFERROR(__xludf.DUMMYFUNCTION("REGEXREPLACE(A983,""^Trường\s*"","""")"),"THCS Tân Thành")</f>
        <v>THCS Tân Thành</v>
      </c>
    </row>
    <row r="984">
      <c r="A984" s="1" t="s">
        <v>1843</v>
      </c>
      <c r="B984" s="2" t="s">
        <v>1846</v>
      </c>
      <c r="C984" s="2" t="s">
        <v>1233</v>
      </c>
      <c r="E984" s="2" t="str">
        <f>IFERROR(__xludf.DUMMYFUNCTION("REGEXREPLACE(A984,""^Trường\s*"","""")"),"PTDTNT THCS Thường Xuân")</f>
        <v>PTDTNT THCS Thường Xuân</v>
      </c>
    </row>
    <row r="985">
      <c r="A985" s="1" t="s">
        <v>1848</v>
      </c>
      <c r="B985" s="2" t="s">
        <v>1850</v>
      </c>
      <c r="C985" s="2" t="s">
        <v>1233</v>
      </c>
      <c r="E985" s="2" t="str">
        <f>IFERROR(__xludf.DUMMYFUNCTION("REGEXREPLACE(A985,""^Trường\s*"","""")"),"THCS Thường Xuân")</f>
        <v>THCS Thường Xuân</v>
      </c>
    </row>
    <row r="986">
      <c r="A986" s="1" t="s">
        <v>1854</v>
      </c>
      <c r="B986" s="2" t="s">
        <v>1855</v>
      </c>
      <c r="C986" s="2" t="s">
        <v>1233</v>
      </c>
      <c r="E986" s="2" t="str">
        <f>IFERROR(__xludf.DUMMYFUNCTION("REGEXREPLACE(A986,""^Trường\s*"","""")"),"THCS Xuân Cẩm")</f>
        <v>THCS Xuân Cẩm</v>
      </c>
    </row>
    <row r="987">
      <c r="A987" s="1" t="s">
        <v>1858</v>
      </c>
      <c r="B987" s="2" t="s">
        <v>1859</v>
      </c>
      <c r="C987" s="2" t="s">
        <v>58</v>
      </c>
      <c r="E987" s="2" t="str">
        <f>IFERROR(__xludf.DUMMYFUNCTION("REGEXREPLACE(A987,""^Trường\s*"","""")"),"THCS Dân Quyền")</f>
        <v>THCS Dân Quyền</v>
      </c>
    </row>
    <row r="988">
      <c r="A988" s="1" t="s">
        <v>1862</v>
      </c>
      <c r="B988" s="2" t="s">
        <v>1864</v>
      </c>
      <c r="C988" s="2" t="s">
        <v>524</v>
      </c>
      <c r="E988" s="2" t="str">
        <f>IFERROR(__xludf.DUMMYFUNCTION("REGEXREPLACE(A988,""^Trường\s*"","""")"),"THCS Khuyến Nông")</f>
        <v>THCS Khuyến Nông</v>
      </c>
    </row>
    <row r="989">
      <c r="A989" s="1" t="s">
        <v>1868</v>
      </c>
      <c r="B989" s="2" t="s">
        <v>1870</v>
      </c>
      <c r="C989" s="2" t="s">
        <v>58</v>
      </c>
      <c r="E989" s="2" t="str">
        <f>IFERROR(__xludf.DUMMYFUNCTION("REGEXREPLACE(A989,""^Trường\s*"","""")"),"TH và THCS Minh Sơn")</f>
        <v>TH và THCS Minh Sơn</v>
      </c>
    </row>
    <row r="990">
      <c r="A990" s="1" t="s">
        <v>1873</v>
      </c>
      <c r="B990" s="2" t="s">
        <v>1874</v>
      </c>
      <c r="C990" s="2" t="s">
        <v>1875</v>
      </c>
      <c r="E990" s="2" t="str">
        <f>IFERROR(__xludf.DUMMYFUNCTION("REGEXREPLACE(A990,""^Trường\s*"","""")"),"THCS Thọ Cường")</f>
        <v>THCS Thọ Cường</v>
      </c>
    </row>
    <row r="991">
      <c r="A991" s="1" t="s">
        <v>1878</v>
      </c>
      <c r="B991" s="2" t="s">
        <v>1880</v>
      </c>
      <c r="C991" s="2" t="s">
        <v>1208</v>
      </c>
      <c r="E991" s="2" t="str">
        <f>IFERROR(__xludf.DUMMYFUNCTION("REGEXREPLACE(A991,""^Trường\s*"","""")"),"THCS Thọ Tân")</f>
        <v>THCS Thọ Tân</v>
      </c>
    </row>
    <row r="992">
      <c r="A992" s="1" t="s">
        <v>1888</v>
      </c>
      <c r="B992" s="2" t="s">
        <v>1890</v>
      </c>
      <c r="C992" s="2" t="s">
        <v>524</v>
      </c>
      <c r="E992" s="2" t="str">
        <f>IFERROR(__xludf.DUMMYFUNCTION("REGEXREPLACE(A992,""^Trường\s*"","""")"),"THCS Tiến Nông")</f>
        <v>THCS Tiến Nông</v>
      </c>
    </row>
    <row r="993">
      <c r="A993" s="1" t="s">
        <v>1895</v>
      </c>
      <c r="B993" s="2" t="s">
        <v>1896</v>
      </c>
      <c r="C993" s="2" t="s">
        <v>58</v>
      </c>
      <c r="E993" s="2" t="str">
        <f>IFERROR(__xludf.DUMMYFUNCTION("REGEXREPLACE(A993,""^Trường\s*"","""")"),"THCS Dân Lực")</f>
        <v>THCS Dân Lực</v>
      </c>
    </row>
    <row r="994">
      <c r="A994" s="1" t="s">
        <v>1904</v>
      </c>
      <c r="B994" s="2" t="s">
        <v>1905</v>
      </c>
      <c r="C994" s="2" t="s">
        <v>1875</v>
      </c>
      <c r="E994" s="2" t="str">
        <f>IFERROR(__xludf.DUMMYFUNCTION("REGEXREPLACE(A994,""^Trường\s*"","""")"),"THCS Thọ Tiến")</f>
        <v>THCS Thọ Tiến</v>
      </c>
    </row>
    <row r="995">
      <c r="A995" s="1" t="s">
        <v>1908</v>
      </c>
      <c r="B995" s="2" t="s">
        <v>1910</v>
      </c>
      <c r="C995" s="2" t="s">
        <v>695</v>
      </c>
      <c r="E995" s="2" t="str">
        <f>IFERROR(__xludf.DUMMYFUNCTION("REGEXREPLACE(A995,""^Trường\s*"","""")"),"THCS Đồng Tiến")</f>
        <v>THCS Đồng Tiến</v>
      </c>
    </row>
    <row r="996">
      <c r="A996" s="1" t="s">
        <v>1914</v>
      </c>
      <c r="B996" s="2" t="s">
        <v>1915</v>
      </c>
      <c r="C996" s="2" t="s">
        <v>1875</v>
      </c>
      <c r="E996" s="2" t="str">
        <f>IFERROR(__xludf.DUMMYFUNCTION("REGEXREPLACE(A996,""^Trường\s*"","""")"),"THCS Xuân Thọ")</f>
        <v>THCS Xuân Thọ</v>
      </c>
    </row>
    <row r="997">
      <c r="A997" s="1" t="s">
        <v>1919</v>
      </c>
      <c r="B997" s="2" t="s">
        <v>1921</v>
      </c>
      <c r="C997" s="2" t="s">
        <v>816</v>
      </c>
      <c r="E997" s="2" t="str">
        <f>IFERROR(__xludf.DUMMYFUNCTION("REGEXREPLACE(A997,""^Trường\s*"","""")"),"THCS Triệu Thành")</f>
        <v>THCS Triệu Thành</v>
      </c>
    </row>
    <row r="998">
      <c r="A998" s="1" t="s">
        <v>1925</v>
      </c>
      <c r="B998" s="2" t="s">
        <v>1926</v>
      </c>
      <c r="C998" s="2" t="s">
        <v>1208</v>
      </c>
      <c r="E998" s="2" t="str">
        <f>IFERROR(__xludf.DUMMYFUNCTION("REGEXREPLACE(A998,""^Trường\s*"","""")"),"THCS Thọ Vực")</f>
        <v>THCS Thọ Vực</v>
      </c>
    </row>
    <row r="999">
      <c r="A999" s="1" t="s">
        <v>1930</v>
      </c>
      <c r="B999" s="2" t="s">
        <v>1931</v>
      </c>
      <c r="C999" s="2" t="s">
        <v>1208</v>
      </c>
      <c r="E999" s="2" t="str">
        <f>IFERROR(__xludf.DUMMYFUNCTION("REGEXREPLACE(A999,""^Trường\s*"","""")"),"TH&amp;THCS Thọ Phú")</f>
        <v>TH&amp;THCS Thọ Phú</v>
      </c>
    </row>
    <row r="1000">
      <c r="A1000" s="1" t="s">
        <v>1934</v>
      </c>
      <c r="B1000" s="2" t="s">
        <v>1936</v>
      </c>
      <c r="C1000" s="2" t="s">
        <v>1208</v>
      </c>
      <c r="E1000" s="2" t="str">
        <f>IFERROR(__xludf.DUMMYFUNCTION("REGEXREPLACE(A1000,""^Trường\s*"","""")"),"THCS Thọ Dân")</f>
        <v>THCS Thọ Dân</v>
      </c>
    </row>
    <row r="1001">
      <c r="A1001" s="1" t="s">
        <v>1939</v>
      </c>
      <c r="B1001" s="2" t="s">
        <v>1941</v>
      </c>
      <c r="C1001" s="2" t="s">
        <v>816</v>
      </c>
      <c r="E1001" s="2" t="str">
        <f>IFERROR(__xludf.DUMMYFUNCTION("REGEXREPLACE(A1001,""^Trường\s*"","""")"),"THCS Hợp Thắng")</f>
        <v>THCS Hợp Thắng</v>
      </c>
    </row>
    <row r="1002">
      <c r="A1002" s="1" t="s">
        <v>1406</v>
      </c>
      <c r="B1002" s="2" t="s">
        <v>1409</v>
      </c>
      <c r="C1002" s="2" t="s">
        <v>816</v>
      </c>
      <c r="E1002" s="2" t="str">
        <f>IFERROR(__xludf.DUMMYFUNCTION("REGEXREPLACE(A1002,""^Trường\s*"","""")"),"TH và THCS Hợp Tiến")</f>
        <v>TH và THCS Hợp Tiến</v>
      </c>
    </row>
    <row r="1003">
      <c r="A1003" s="1" t="s">
        <v>1947</v>
      </c>
      <c r="B1003" s="2" t="s">
        <v>1949</v>
      </c>
      <c r="C1003" s="2" t="s">
        <v>1208</v>
      </c>
      <c r="E1003" s="2" t="str">
        <f>IFERROR(__xludf.DUMMYFUNCTION("REGEXREPLACE(A1003,""^Trường\s*"","""")"),"TH&amp;THCS Xuân Lộc")</f>
        <v>TH&amp;THCS Xuân Lộc</v>
      </c>
    </row>
    <row r="1004">
      <c r="A1004" s="1" t="s">
        <v>1952</v>
      </c>
      <c r="B1004" s="2" t="s">
        <v>1954</v>
      </c>
      <c r="C1004" s="2" t="s">
        <v>524</v>
      </c>
      <c r="E1004" s="2" t="str">
        <f>IFERROR(__xludf.DUMMYFUNCTION("REGEXREPLACE(A1004,""^Trường\s*"","""")"),"THCS An Nông")</f>
        <v>THCS An Nông</v>
      </c>
    </row>
    <row r="1005">
      <c r="A1005" s="1" t="s">
        <v>1958</v>
      </c>
      <c r="B1005" s="2" t="s">
        <v>1959</v>
      </c>
      <c r="C1005" s="2" t="s">
        <v>1074</v>
      </c>
      <c r="E1005" s="2" t="str">
        <f>IFERROR(__xludf.DUMMYFUNCTION("REGEXREPLACE(A1005,""^Trường\s*"","""")"),"THCS Vân sơn")</f>
        <v>THCS Vân sơn</v>
      </c>
    </row>
    <row r="1006">
      <c r="A1006" s="1" t="s">
        <v>1962</v>
      </c>
      <c r="B1006" s="2" t="s">
        <v>1964</v>
      </c>
      <c r="C1006" s="2" t="s">
        <v>1208</v>
      </c>
      <c r="E1006" s="2" t="str">
        <f>IFERROR(__xludf.DUMMYFUNCTION("REGEXREPLACE(A1006,""^Trường\s*"","""")"),"THCS Thọ Thế")</f>
        <v>THCS Thọ Thế</v>
      </c>
    </row>
    <row r="1007">
      <c r="A1007" s="1" t="s">
        <v>1967</v>
      </c>
      <c r="B1007" s="2" t="s">
        <v>1969</v>
      </c>
      <c r="C1007" s="2" t="s">
        <v>695</v>
      </c>
      <c r="E1007" s="2" t="str">
        <f>IFERROR(__xludf.DUMMYFUNCTION("REGEXREPLACE(A1007,""^Trường\s*"","""")"),"THCS Đồng Lợi")</f>
        <v>THCS Đồng Lợi</v>
      </c>
    </row>
    <row r="1008">
      <c r="A1008" s="1" t="s">
        <v>1973</v>
      </c>
      <c r="B1008" s="2" t="s">
        <v>1974</v>
      </c>
      <c r="C1008" s="2" t="s">
        <v>58</v>
      </c>
      <c r="E1008" s="2" t="str">
        <f>IFERROR(__xludf.DUMMYFUNCTION("REGEXREPLACE(A1008,""^Trường\s*"","""")"),"THCS Dân Lý")</f>
        <v>THCS Dân Lý</v>
      </c>
    </row>
    <row r="1009">
      <c r="A1009" s="1" t="s">
        <v>1977</v>
      </c>
      <c r="B1009" s="2" t="s">
        <v>1978</v>
      </c>
      <c r="C1009" s="2" t="s">
        <v>695</v>
      </c>
      <c r="E1009" s="2" t="str">
        <f>IFERROR(__xludf.DUMMYFUNCTION("REGEXREPLACE(A1009,""^Trường\s*"","""")"),"THCS Đồng Thắng")</f>
        <v>THCS Đồng Thắng</v>
      </c>
    </row>
    <row r="1010">
      <c r="A1010" s="1" t="s">
        <v>1981</v>
      </c>
      <c r="B1010" s="2" t="s">
        <v>1983</v>
      </c>
      <c r="C1010" s="2" t="s">
        <v>1074</v>
      </c>
      <c r="E1010" s="2" t="str">
        <f>IFERROR(__xludf.DUMMYFUNCTION("REGEXREPLACE(A1010,""^Trường\s*"","""")"),"THCS Tân Ninh")</f>
        <v>THCS Tân Ninh</v>
      </c>
    </row>
    <row r="1011">
      <c r="A1011" s="1" t="s">
        <v>1987</v>
      </c>
      <c r="B1011" s="2" t="s">
        <v>1989</v>
      </c>
      <c r="C1011" s="2" t="s">
        <v>1875</v>
      </c>
      <c r="E1011" s="2" t="str">
        <f>IFERROR(__xludf.DUMMYFUNCTION("REGEXREPLACE(A1011,""^Trường\s*"","""")"),"THCS Thọ Ngọc")</f>
        <v>THCS Thọ Ngọc</v>
      </c>
    </row>
    <row r="1012">
      <c r="A1012" s="1" t="s">
        <v>1992</v>
      </c>
      <c r="B1012" s="2" t="s">
        <v>1994</v>
      </c>
      <c r="C1012" s="2" t="s">
        <v>524</v>
      </c>
      <c r="E1012" s="2" t="str">
        <f>IFERROR(__xludf.DUMMYFUNCTION("REGEXREPLACE(A1012,""^Trường\s*"","""")"),"THCS Nông Trường")</f>
        <v>THCS Nông Trường</v>
      </c>
    </row>
    <row r="1013">
      <c r="A1013" s="1" t="s">
        <v>1997</v>
      </c>
      <c r="B1013" s="2" t="s">
        <v>1998</v>
      </c>
      <c r="C1013" s="2" t="s">
        <v>816</v>
      </c>
      <c r="E1013" s="2" t="str">
        <f>IFERROR(__xludf.DUMMYFUNCTION("REGEXREPLACE(A1013,""^Trường\s*"","""")"),"THCS Hợp Thành")</f>
        <v>THCS Hợp Thành</v>
      </c>
    </row>
    <row r="1014">
      <c r="A1014" s="1" t="s">
        <v>2000</v>
      </c>
      <c r="B1014" s="2" t="s">
        <v>2001</v>
      </c>
      <c r="C1014" s="2" t="s">
        <v>816</v>
      </c>
      <c r="E1014" s="2" t="str">
        <f>IFERROR(__xludf.DUMMYFUNCTION("REGEXREPLACE(A1014,""^Trường\s*"","""")"),"THCS Hợp Lý")</f>
        <v>THCS Hợp Lý</v>
      </c>
    </row>
    <row r="1015">
      <c r="A1015" s="1" t="s">
        <v>2003</v>
      </c>
      <c r="B1015" s="2" t="s">
        <v>2005</v>
      </c>
      <c r="C1015" s="2" t="s">
        <v>2006</v>
      </c>
      <c r="E1015" s="2" t="str">
        <f>IFERROR(__xludf.DUMMYFUNCTION("REGEXREPLACE(A1015,""^Trường\s*"","""")"),"THCS Thọ Bình")</f>
        <v>THCS Thọ Bình</v>
      </c>
    </row>
    <row r="1016">
      <c r="A1016" s="1" t="s">
        <v>2009</v>
      </c>
      <c r="B1016" s="2" t="s">
        <v>2010</v>
      </c>
      <c r="C1016" s="2" t="s">
        <v>2006</v>
      </c>
      <c r="E1016" s="2" t="str">
        <f>IFERROR(__xludf.DUMMYFUNCTION("REGEXREPLACE(A1016,""^Trường\s*"","""")"),"THCS Thọ Sơn")</f>
        <v>THCS Thọ Sơn</v>
      </c>
    </row>
    <row r="1017">
      <c r="A1017" s="1" t="s">
        <v>2013</v>
      </c>
      <c r="B1017" s="2" t="s">
        <v>2014</v>
      </c>
      <c r="C1017" s="2" t="s">
        <v>1208</v>
      </c>
      <c r="E1017" s="2" t="str">
        <f>IFERROR(__xludf.DUMMYFUNCTION("REGEXREPLACE(A1017,""^Trường\s*"","""")"),"TH và THCS Xuân Thịnh")</f>
        <v>TH và THCS Xuân Thịnh</v>
      </c>
    </row>
    <row r="1018">
      <c r="A1018" s="1" t="s">
        <v>2017</v>
      </c>
      <c r="B1018" s="2" t="s">
        <v>2019</v>
      </c>
      <c r="C1018" s="2" t="s">
        <v>1074</v>
      </c>
      <c r="E1018" s="2" t="str">
        <f>IFERROR(__xludf.DUMMYFUNCTION("REGEXREPLACE(A1018,""^Trường\s*"","""")"),"THCS Thái Hoà")</f>
        <v>THCS Thái Hoà</v>
      </c>
    </row>
    <row r="1019">
      <c r="A1019" s="1" t="s">
        <v>2021</v>
      </c>
      <c r="B1019" s="2" t="s">
        <v>2023</v>
      </c>
      <c r="C1019" s="2" t="s">
        <v>58</v>
      </c>
      <c r="E1019" s="2" t="str">
        <f>IFERROR(__xludf.DUMMYFUNCTION("REGEXREPLACE(A1019,""^Trường\s*"","""")"),"THCS Triệu Thị Trinh")</f>
        <v>THCS Triệu Thị Trinh</v>
      </c>
    </row>
    <row r="1020">
      <c r="A1020" s="1" t="s">
        <v>2026</v>
      </c>
      <c r="B1020" s="2" t="s">
        <v>2027</v>
      </c>
      <c r="C1020" s="2" t="s">
        <v>2006</v>
      </c>
      <c r="E1020" s="2" t="str">
        <f>IFERROR(__xludf.DUMMYFUNCTION("REGEXREPLACE(A1020,""^Trường\s*"","""")"),"TH&amp;THCS Bình Sơn")</f>
        <v>TH&amp;THCS Bình Sơn</v>
      </c>
    </row>
    <row r="1021">
      <c r="A1021" s="1" t="s">
        <v>2031</v>
      </c>
      <c r="B1021" s="2" t="s">
        <v>2032</v>
      </c>
      <c r="C1021" s="2" t="s">
        <v>58</v>
      </c>
      <c r="E1021" s="2" t="str">
        <f>IFERROR(__xludf.DUMMYFUNCTION("REGEXREPLACE(A1021,""^Trường\s*"","""")"),"THCS Tô Vĩnh Diện")</f>
        <v>THCS Tô Vĩnh Diện</v>
      </c>
    </row>
    <row r="1022">
      <c r="A1022" s="1" t="s">
        <v>133</v>
      </c>
      <c r="B1022" s="2" t="s">
        <v>134</v>
      </c>
      <c r="C1022" s="2" t="s">
        <v>135</v>
      </c>
      <c r="E1022" s="2" t="str">
        <f>IFERROR(__xludf.DUMMYFUNCTION("REGEXREPLACE(A1022,""^Trường\s*"","""")"),"TH&amp;THCS Thiệu Châu")</f>
        <v>TH&amp;THCS Thiệu Châu</v>
      </c>
    </row>
    <row r="1023">
      <c r="A1023" s="1" t="s">
        <v>2036</v>
      </c>
      <c r="B1023" s="2" t="s">
        <v>2038</v>
      </c>
      <c r="C1023" s="2" t="s">
        <v>2039</v>
      </c>
      <c r="E1023" s="2" t="str">
        <f>IFERROR(__xludf.DUMMYFUNCTION("REGEXREPLACE(A1023,""^Trường\s*"","""")"),"THCS Thiệu Ngọc")</f>
        <v>THCS Thiệu Ngọc</v>
      </c>
    </row>
    <row r="1024">
      <c r="A1024" s="1" t="s">
        <v>2043</v>
      </c>
      <c r="B1024" s="2" t="s">
        <v>2044</v>
      </c>
      <c r="C1024" s="2" t="s">
        <v>2039</v>
      </c>
      <c r="E1024" s="2" t="str">
        <f>IFERROR(__xludf.DUMMYFUNCTION("REGEXREPLACE(A1024,""^Trường\s*"","""")"),"THCS Thiệu Vũ")</f>
        <v>THCS Thiệu Vũ</v>
      </c>
    </row>
    <row r="1025">
      <c r="A1025" s="1" t="s">
        <v>2045</v>
      </c>
      <c r="B1025" s="2" t="s">
        <v>2047</v>
      </c>
      <c r="C1025" s="2" t="s">
        <v>2039</v>
      </c>
      <c r="E1025" s="2" t="str">
        <f>IFERROR(__xludf.DUMMYFUNCTION("REGEXREPLACE(A1025,""^Trường\s*"","""")"),"THCS Thiệu Tiến")</f>
        <v>THCS Thiệu Tiến</v>
      </c>
    </row>
    <row r="1026">
      <c r="A1026" s="1" t="s">
        <v>2050</v>
      </c>
      <c r="B1026" s="2" t="s">
        <v>2052</v>
      </c>
      <c r="C1026" s="2" t="s">
        <v>2039</v>
      </c>
      <c r="E1026" s="2" t="str">
        <f>IFERROR(__xludf.DUMMYFUNCTION("REGEXREPLACE(A1026,""^Trường\s*"","""")"),"THCS Thiệu Thành")</f>
        <v>THCS Thiệu Thành</v>
      </c>
    </row>
    <row r="1027">
      <c r="A1027" s="1" t="s">
        <v>2056</v>
      </c>
      <c r="B1027" s="2" t="s">
        <v>2057</v>
      </c>
      <c r="C1027" s="2" t="s">
        <v>7</v>
      </c>
      <c r="E1027" s="2" t="str">
        <f>IFERROR(__xludf.DUMMYFUNCTION("REGEXREPLACE(A1027,""^Trường\s*"","""")"),"THCS Thiệu Công")</f>
        <v>THCS Thiệu Công</v>
      </c>
    </row>
    <row r="1028">
      <c r="A1028" s="1" t="s">
        <v>2058</v>
      </c>
      <c r="B1028" s="2" t="s">
        <v>2059</v>
      </c>
      <c r="C1028" s="2" t="s">
        <v>7</v>
      </c>
      <c r="E1028" s="2" t="str">
        <f>IFERROR(__xludf.DUMMYFUNCTION("REGEXREPLACE(A1028,""^Trường\s*"","""")"),"THCS Thiệu Phú")</f>
        <v>THCS Thiệu Phú</v>
      </c>
    </row>
    <row r="1029">
      <c r="A1029" s="1" t="s">
        <v>2062</v>
      </c>
      <c r="B1029" s="2" t="s">
        <v>2063</v>
      </c>
      <c r="C1029" s="2" t="s">
        <v>7</v>
      </c>
      <c r="E1029" s="2" t="str">
        <f>IFERROR(__xludf.DUMMYFUNCTION("REGEXREPLACE(A1029,""^Trường\s*"","""")"),"THCS Thiệu Phúc")</f>
        <v>THCS Thiệu Phúc</v>
      </c>
    </row>
    <row r="1030">
      <c r="A1030" s="1" t="s">
        <v>2067</v>
      </c>
      <c r="B1030" s="2" t="s">
        <v>2069</v>
      </c>
      <c r="C1030" s="2" t="s">
        <v>7</v>
      </c>
      <c r="E1030" s="2" t="str">
        <f>IFERROR(__xludf.DUMMYFUNCTION("REGEXREPLACE(A1030,""^Trường\s*"","""")"),"THCS Vạn Hà")</f>
        <v>THCS Vạn Hà</v>
      </c>
    </row>
    <row r="1031">
      <c r="A1031" s="1" t="s">
        <v>2072</v>
      </c>
      <c r="B1031" s="2" t="s">
        <v>2074</v>
      </c>
      <c r="C1031" s="2" t="s">
        <v>7</v>
      </c>
      <c r="E1031" s="2" t="str">
        <f>IFERROR(__xludf.DUMMYFUNCTION("REGEXREPLACE(A1031,""^Trường\s*"","""")"),"THCS Thiệu Nguyên")</f>
        <v>THCS Thiệu Nguyên</v>
      </c>
    </row>
    <row r="1032">
      <c r="A1032" s="1" t="s">
        <v>2078</v>
      </c>
      <c r="B1032" s="2" t="s">
        <v>2079</v>
      </c>
      <c r="C1032" s="2" t="s">
        <v>1181</v>
      </c>
      <c r="E1032" s="2" t="str">
        <f>IFERROR(__xludf.DUMMYFUNCTION("REGEXREPLACE(A1032,""^Trường\s*"","""")"),"THCS Thiệu Duy")</f>
        <v>THCS Thiệu Duy</v>
      </c>
    </row>
    <row r="1033">
      <c r="A1033" s="1" t="s">
        <v>2082</v>
      </c>
      <c r="B1033" s="2" t="s">
        <v>2084</v>
      </c>
      <c r="C1033" s="2" t="s">
        <v>1181</v>
      </c>
      <c r="E1033" s="2" t="str">
        <f>IFERROR(__xludf.DUMMYFUNCTION("REGEXREPLACE(A1033,""^Trường\s*"","""")"),"THCS Thiệu Hợp")</f>
        <v>THCS Thiệu Hợp</v>
      </c>
    </row>
    <row r="1034">
      <c r="A1034" s="1" t="s">
        <v>2089</v>
      </c>
      <c r="B1034" s="2" t="s">
        <v>2091</v>
      </c>
      <c r="C1034" s="2" t="s">
        <v>1181</v>
      </c>
      <c r="E1034" s="2" t="str">
        <f>IFERROR(__xludf.DUMMYFUNCTION("REGEXREPLACE(A1034,""^Trường\s*"","""")"),"THCS Thiệu Quang")</f>
        <v>THCS Thiệu Quang</v>
      </c>
    </row>
    <row r="1035">
      <c r="A1035" s="1" t="s">
        <v>2094</v>
      </c>
      <c r="B1035" s="2" t="s">
        <v>2095</v>
      </c>
      <c r="C1035" s="2" t="s">
        <v>7</v>
      </c>
      <c r="E1035" s="2" t="str">
        <f>IFERROR(__xludf.DUMMYFUNCTION("REGEXREPLACE(A1035,""^Trường\s*"","""")"),"THCS Thiệu Long")</f>
        <v>THCS Thiệu Long</v>
      </c>
    </row>
    <row r="1036">
      <c r="A1036" s="1" t="s">
        <v>2099</v>
      </c>
      <c r="B1036" s="2" t="s">
        <v>2100</v>
      </c>
      <c r="C1036" s="2" t="s">
        <v>1181</v>
      </c>
      <c r="E1036" s="2" t="str">
        <f>IFERROR(__xludf.DUMMYFUNCTION("REGEXREPLACE(A1036,""^Trường\s*"","""")"),"THCS Thiệu Giang")</f>
        <v>THCS Thiệu Giang</v>
      </c>
    </row>
    <row r="1037">
      <c r="A1037" s="1" t="s">
        <v>2103</v>
      </c>
      <c r="B1037" s="2" t="s">
        <v>2105</v>
      </c>
      <c r="C1037" s="2" t="s">
        <v>2107</v>
      </c>
      <c r="E1037" s="2" t="str">
        <f>IFERROR(__xludf.DUMMYFUNCTION("REGEXREPLACE(A1037,""^Trường\s*"","""")"),"THCS Thiệu Toán")</f>
        <v>THCS Thiệu Toán</v>
      </c>
    </row>
    <row r="1038">
      <c r="A1038" s="1" t="s">
        <v>2110</v>
      </c>
      <c r="B1038" s="2" t="s">
        <v>2112</v>
      </c>
      <c r="C1038" s="2" t="s">
        <v>2107</v>
      </c>
      <c r="E1038" s="2" t="str">
        <f>IFERROR(__xludf.DUMMYFUNCTION("REGEXREPLACE(A1038,""^Trường\s*"","""")"),"THCS Thiệu Chính")</f>
        <v>THCS Thiệu Chính</v>
      </c>
    </row>
    <row r="1039">
      <c r="A1039" s="1" t="s">
        <v>2114</v>
      </c>
      <c r="B1039" s="2" t="s">
        <v>2116</v>
      </c>
      <c r="C1039" s="2" t="s">
        <v>2107</v>
      </c>
      <c r="E1039" s="2" t="str">
        <f>IFERROR(__xludf.DUMMYFUNCTION("REGEXREPLACE(A1039,""^Trường\s*"","""")"),"THCS Thiệu Hòa")</f>
        <v>THCS Thiệu Hòa</v>
      </c>
    </row>
    <row r="1040">
      <c r="A1040" s="1" t="s">
        <v>2119</v>
      </c>
      <c r="B1040" s="2" t="s">
        <v>2121</v>
      </c>
      <c r="C1040" s="2" t="s">
        <v>2107</v>
      </c>
      <c r="E1040" s="2" t="str">
        <f>IFERROR(__xludf.DUMMYFUNCTION("REGEXREPLACE(A1040,""^Trường\s*"","""")"),"THamp;THCS Thiệu Minh")</f>
        <v>THamp;THCS Thiệu Minh</v>
      </c>
    </row>
    <row r="1041">
      <c r="A1041" s="1" t="s">
        <v>2124</v>
      </c>
      <c r="B1041" s="2" t="s">
        <v>2126</v>
      </c>
      <c r="C1041" s="2" t="s">
        <v>2107</v>
      </c>
      <c r="E1041" s="2" t="str">
        <f>IFERROR(__xludf.DUMMYFUNCTION("REGEXREPLACE(A1041,""^Trường\s*"","""")"),"THCS Thiệu Tâm")</f>
        <v>THCS Thiệu Tâm</v>
      </c>
    </row>
    <row r="1042">
      <c r="A1042" s="1" t="s">
        <v>2129</v>
      </c>
      <c r="B1042" s="2" t="s">
        <v>2132</v>
      </c>
      <c r="C1042" s="2" t="s">
        <v>1190</v>
      </c>
      <c r="E1042" s="2" t="str">
        <f>IFERROR(__xludf.DUMMYFUNCTION("REGEXREPLACE(A1042,""^Trường\s*"","""")"),"THCS Thiệu Lý")</f>
        <v>THCS Thiệu Lý</v>
      </c>
    </row>
    <row r="1043">
      <c r="A1043" s="1" t="s">
        <v>2136</v>
      </c>
      <c r="B1043" s="2" t="s">
        <v>2138</v>
      </c>
      <c r="C1043" s="2" t="s">
        <v>1190</v>
      </c>
      <c r="E1043" s="2" t="str">
        <f>IFERROR(__xludf.DUMMYFUNCTION("REGEXREPLACE(A1043,""^Trường\s*"","""")"),"THCS Thiệu Viên")</f>
        <v>THCS Thiệu Viên</v>
      </c>
    </row>
    <row r="1044">
      <c r="A1044" s="1" t="s">
        <v>2142</v>
      </c>
      <c r="B1044" s="2" t="s">
        <v>2143</v>
      </c>
      <c r="C1044" s="2" t="s">
        <v>1190</v>
      </c>
      <c r="E1044" s="2" t="str">
        <f>IFERROR(__xludf.DUMMYFUNCTION("REGEXREPLACE(A1044,""^Trường\s*"","""")"),"TH&amp;THCS Thiệu Vận")</f>
        <v>TH&amp;THCS Thiệu Vận</v>
      </c>
    </row>
    <row r="1045">
      <c r="A1045" s="1" t="s">
        <v>2146</v>
      </c>
      <c r="B1045" s="2" t="s">
        <v>2149</v>
      </c>
      <c r="C1045" s="2" t="s">
        <v>1190</v>
      </c>
      <c r="E1045" s="2" t="str">
        <f>IFERROR(__xludf.DUMMYFUNCTION("REGEXREPLACE(A1045,""^Trường\s*"","""")"),"THCS Thiệu Trung")</f>
        <v>THCS Thiệu Trung</v>
      </c>
    </row>
    <row r="1046">
      <c r="A1046" s="1" t="s">
        <v>2152</v>
      </c>
      <c r="B1046" s="2" t="s">
        <v>2154</v>
      </c>
      <c r="C1046" s="2" t="s">
        <v>1190</v>
      </c>
      <c r="E1046" s="2" t="str">
        <f>IFERROR(__xludf.DUMMYFUNCTION("REGEXREPLACE(A1046,""^Trường\s*"","""")"),"THCS Thiệu Đô")</f>
        <v>THCS Thiệu Đô</v>
      </c>
    </row>
    <row r="1047">
      <c r="A1047" s="1" t="s">
        <v>140</v>
      </c>
      <c r="B1047" s="2" t="s">
        <v>141</v>
      </c>
      <c r="C1047" s="2" t="s">
        <v>135</v>
      </c>
      <c r="E1047" s="2" t="str">
        <f>IFERROR(__xludf.DUMMYFUNCTION("REGEXREPLACE(A1047,""^Trường\s*"","""")"),"TH &amp; THCS Thiệu Tân")</f>
        <v>TH &amp; THCS Thiệu Tân</v>
      </c>
    </row>
    <row r="1048">
      <c r="A1048" s="1" t="s">
        <v>143</v>
      </c>
      <c r="B1048" s="2" t="s">
        <v>145</v>
      </c>
      <c r="C1048" s="2" t="s">
        <v>135</v>
      </c>
      <c r="E1048" s="2" t="str">
        <f>IFERROR(__xludf.DUMMYFUNCTION("REGEXREPLACE(A1048,""^Trường\s*"","""")"),"THamp;THCS Thiệu Vân")</f>
        <v>THamp;THCS Thiệu Vân</v>
      </c>
    </row>
    <row r="1049">
      <c r="A1049" s="1" t="s">
        <v>2161</v>
      </c>
      <c r="B1049" s="2" t="s">
        <v>2163</v>
      </c>
      <c r="C1049" s="2" t="s">
        <v>135</v>
      </c>
      <c r="E1049" s="2" t="str">
        <f>IFERROR(__xludf.DUMMYFUNCTION("REGEXREPLACE(A1049,""^Trường\s*"","""")"),"THCS Thiệu Khánh")</f>
        <v>THCS Thiệu Khánh</v>
      </c>
    </row>
    <row r="1050">
      <c r="A1050" s="1" t="s">
        <v>2166</v>
      </c>
      <c r="B1050" s="2" t="s">
        <v>2168</v>
      </c>
      <c r="C1050" s="2" t="s">
        <v>100</v>
      </c>
      <c r="E1050" s="2" t="str">
        <f>IFERROR(__xludf.DUMMYFUNCTION("REGEXREPLACE(A1050,""^Trường\s*"","""")"),"THCS Thiệu Dương")</f>
        <v>THCS Thiệu Dương</v>
      </c>
    </row>
    <row r="1051">
      <c r="A1051" s="1" t="s">
        <v>2171</v>
      </c>
      <c r="B1051" s="2" t="s">
        <v>2172</v>
      </c>
      <c r="C1051" s="2" t="s">
        <v>1181</v>
      </c>
      <c r="E1051" s="2" t="str">
        <f>IFERROR(__xludf.DUMMYFUNCTION("REGEXREPLACE(A1051,""^Trường\s*"","""")"),"TH&amp;THCS Thiệu Thịnh")</f>
        <v>TH&amp;THCS Thiệu Thịnh</v>
      </c>
    </row>
    <row r="1052">
      <c r="A1052" s="1" t="s">
        <v>146</v>
      </c>
      <c r="B1052" s="2" t="s">
        <v>147</v>
      </c>
      <c r="C1052" s="2" t="s">
        <v>135</v>
      </c>
      <c r="E1052" s="2" t="str">
        <f>IFERROR(__xludf.DUMMYFUNCTION("REGEXREPLACE(A1052,""^Trường\s*"","""")"),"TH&amp;THCS Thiệu Giao")</f>
        <v>TH&amp;THCS Thiệu Giao</v>
      </c>
    </row>
    <row r="1053">
      <c r="A1053" s="1" t="s">
        <v>2178</v>
      </c>
      <c r="B1053" s="2" t="s">
        <v>2180</v>
      </c>
      <c r="C1053" s="2" t="s">
        <v>1109</v>
      </c>
      <c r="E1053" s="2" t="str">
        <f>IFERROR(__xludf.DUMMYFUNCTION("REGEXREPLACE(A1053,""^Trường\s*"","""")"),"THCS Hoằng Giang")</f>
        <v>THCS Hoằng Giang</v>
      </c>
    </row>
    <row r="1054">
      <c r="A1054" s="1" t="s">
        <v>2183</v>
      </c>
      <c r="B1054" s="2" t="s">
        <v>2184</v>
      </c>
      <c r="C1054" s="2" t="s">
        <v>1109</v>
      </c>
      <c r="E1054" s="2" t="str">
        <f>IFERROR(__xludf.DUMMYFUNCTION("REGEXREPLACE(A1054,""^Trường\s*"","""")"),"THCS Hoằng Xuân")</f>
        <v>THCS Hoằng Xuân</v>
      </c>
    </row>
    <row r="1055">
      <c r="A1055" s="1" t="s">
        <v>2185</v>
      </c>
      <c r="B1055" s="2" t="s">
        <v>2186</v>
      </c>
      <c r="C1055" s="2" t="s">
        <v>1109</v>
      </c>
      <c r="E1055" s="2" t="str">
        <f>IFERROR(__xludf.DUMMYFUNCTION("REGEXREPLACE(A1055,""^Trường\s*"","""")"),"THCS Hoằng Phượng")</f>
        <v>THCS Hoằng Phượng</v>
      </c>
    </row>
    <row r="1056">
      <c r="A1056" s="1" t="s">
        <v>1207</v>
      </c>
      <c r="B1056" s="2" t="s">
        <v>1209</v>
      </c>
      <c r="C1056" s="2" t="s">
        <v>773</v>
      </c>
      <c r="E1056" s="2" t="str">
        <f>IFERROR(__xludf.DUMMYFUNCTION("REGEXREPLACE(A1056,""^Trường\s*"","""")"),"Tiểu học và THCS Hoằng Phú")</f>
        <v>Tiểu học và THCS Hoằng Phú</v>
      </c>
    </row>
    <row r="1057">
      <c r="A1057" s="1" t="s">
        <v>2193</v>
      </c>
      <c r="B1057" s="2" t="s">
        <v>2194</v>
      </c>
      <c r="C1057" s="2" t="s">
        <v>773</v>
      </c>
      <c r="E1057" s="2" t="str">
        <f>IFERROR(__xludf.DUMMYFUNCTION("REGEXREPLACE(A1057,""^Trường\s*"","""")"),"THCS Hoằng Quý")</f>
        <v>THCS Hoằng Quý</v>
      </c>
    </row>
    <row r="1058">
      <c r="A1058" s="1" t="s">
        <v>2197</v>
      </c>
      <c r="B1058" s="2" t="s">
        <v>2198</v>
      </c>
      <c r="C1058" s="2" t="s">
        <v>773</v>
      </c>
      <c r="E1058" s="2" t="str">
        <f>IFERROR(__xludf.DUMMYFUNCTION("REGEXREPLACE(A1058,""^Trường\s*"","""")"),"THCS Hoằng Kim")</f>
        <v>THCS Hoằng Kim</v>
      </c>
    </row>
    <row r="1059">
      <c r="A1059" s="1" t="s">
        <v>2201</v>
      </c>
      <c r="B1059" s="2" t="s">
        <v>2202</v>
      </c>
      <c r="C1059" s="2" t="s">
        <v>773</v>
      </c>
      <c r="E1059" s="2" t="str">
        <f>IFERROR(__xludf.DUMMYFUNCTION("REGEXREPLACE(A1059,""^Trường\s*"","""")"),"THCS Hoằng Trung")</f>
        <v>THCS Hoằng Trung</v>
      </c>
    </row>
    <row r="1060">
      <c r="A1060" s="1" t="s">
        <v>1234</v>
      </c>
      <c r="B1060" s="2" t="s">
        <v>1236</v>
      </c>
      <c r="C1060" s="2" t="s">
        <v>1215</v>
      </c>
      <c r="E1060" s="2" t="str">
        <f>IFERROR(__xludf.DUMMYFUNCTION("REGEXREPLACE(A1060,""^Trường\s*"","""")"),"TH&amp;THCS Hoằng Sơn 1")</f>
        <v>TH&amp;THCS Hoằng Sơn 1</v>
      </c>
    </row>
    <row r="1061">
      <c r="A1061" s="1" t="s">
        <v>2208</v>
      </c>
      <c r="B1061" s="2" t="s">
        <v>2210</v>
      </c>
      <c r="C1061" s="2" t="s">
        <v>1215</v>
      </c>
      <c r="E1061" s="2" t="str">
        <f>IFERROR(__xludf.DUMMYFUNCTION("REGEXREPLACE(A1061,""^Trường\s*"","""")"),"THCS Hoằng Trinh")</f>
        <v>THCS Hoằng Trinh</v>
      </c>
    </row>
    <row r="1062">
      <c r="A1062" s="1" t="s">
        <v>1240</v>
      </c>
      <c r="B1062" s="2" t="s">
        <v>1241</v>
      </c>
      <c r="C1062" s="2" t="s">
        <v>1215</v>
      </c>
      <c r="E1062" s="2" t="str">
        <f>IFERROR(__xludf.DUMMYFUNCTION("REGEXREPLACE(A1062,""^Trường\s*"","""")"),"TH&amp;THCS Hoằng Sơn 2")</f>
        <v>TH&amp;THCS Hoằng Sơn 2</v>
      </c>
    </row>
    <row r="1063">
      <c r="A1063" s="1" t="s">
        <v>2215</v>
      </c>
      <c r="B1063" s="2" t="s">
        <v>2216</v>
      </c>
      <c r="C1063" s="2" t="s">
        <v>1215</v>
      </c>
      <c r="E1063" s="2" t="str">
        <f>IFERROR(__xludf.DUMMYFUNCTION("REGEXREPLACE(A1063,""^Trường\s*"","""")"),"THCS Hoằng Xuyên")</f>
        <v>THCS Hoằng Xuyên</v>
      </c>
    </row>
    <row r="1064">
      <c r="A1064" s="1" t="s">
        <v>2217</v>
      </c>
      <c r="B1064" s="2" t="s">
        <v>2219</v>
      </c>
      <c r="C1064" s="2" t="s">
        <v>1215</v>
      </c>
      <c r="E1064" s="2" t="str">
        <f>IFERROR(__xludf.DUMMYFUNCTION("REGEXREPLACE(A1064,""^Trường\s*"","""")"),"THCS Hoằng Cát")</f>
        <v>THCS Hoằng Cát</v>
      </c>
    </row>
    <row r="1065">
      <c r="A1065" s="1" t="s">
        <v>2222</v>
      </c>
      <c r="B1065" s="2" t="s">
        <v>2224</v>
      </c>
      <c r="C1065" s="2" t="s">
        <v>342</v>
      </c>
      <c r="E1065" s="2" t="str">
        <f>IFERROR(__xludf.DUMMYFUNCTION("REGEXREPLACE(A1065,""^Trường\s*"","""")"),"THCS Tào Xuyên")</f>
        <v>THCS Tào Xuyên</v>
      </c>
    </row>
    <row r="1066">
      <c r="A1066" s="1" t="s">
        <v>178</v>
      </c>
      <c r="B1066" s="2" t="s">
        <v>2227</v>
      </c>
      <c r="C1066" s="2" t="s">
        <v>1109</v>
      </c>
      <c r="E1066" s="2" t="str">
        <f>IFERROR(__xludf.DUMMYFUNCTION("REGEXREPLACE(A1066,""^Trường\s*"","""")"),"THCS Nguyễn Văn Trỗi")</f>
        <v>THCS Nguyễn Văn Trỗi</v>
      </c>
    </row>
    <row r="1067">
      <c r="A1067" s="1" t="s">
        <v>2230</v>
      </c>
      <c r="B1067" s="2" t="s">
        <v>2232</v>
      </c>
      <c r="C1067" s="2" t="s">
        <v>1109</v>
      </c>
      <c r="E1067" s="2" t="str">
        <f>IFERROR(__xludf.DUMMYFUNCTION("REGEXREPLACE(A1067,""^Trường\s*"","""")"),"THCS Hoằng Hợp")</f>
        <v>THCS Hoằng Hợp</v>
      </c>
    </row>
    <row r="1068">
      <c r="A1068" s="1" t="s">
        <v>2235</v>
      </c>
      <c r="B1068" s="2" t="s">
        <v>2237</v>
      </c>
      <c r="C1068" s="2" t="s">
        <v>342</v>
      </c>
      <c r="E1068" s="2" t="str">
        <f>IFERROR(__xludf.DUMMYFUNCTION("REGEXREPLACE(A1068,""^Trường\s*"","""")"),"THCS Hoằng Quang")</f>
        <v>THCS Hoằng Quang</v>
      </c>
    </row>
    <row r="1069">
      <c r="A1069" s="1" t="s">
        <v>2242</v>
      </c>
      <c r="B1069" s="2" t="s">
        <v>2243</v>
      </c>
      <c r="C1069" s="2" t="s">
        <v>342</v>
      </c>
      <c r="E1069" s="2" t="str">
        <f>IFERROR(__xludf.DUMMYFUNCTION("REGEXREPLACE(A1069,""^Trường\s*"","""")"),"THCS Long Anh")</f>
        <v>THCS Long Anh</v>
      </c>
    </row>
    <row r="1070">
      <c r="A1070" s="1" t="s">
        <v>1150</v>
      </c>
      <c r="B1070" s="2" t="s">
        <v>1152</v>
      </c>
      <c r="C1070" s="2" t="s">
        <v>10</v>
      </c>
      <c r="E1070" s="2" t="str">
        <f>IFERROR(__xludf.DUMMYFUNCTION("REGEXREPLACE(A1070,""^Trường\s*"","""")"),"TH&amp;THCS Hoằng Đức 2")</f>
        <v>TH&amp;THCS Hoằng Đức 2</v>
      </c>
    </row>
    <row r="1071">
      <c r="A1071" s="1" t="s">
        <v>2248</v>
      </c>
      <c r="B1071" s="2" t="s">
        <v>2249</v>
      </c>
      <c r="C1071" s="2" t="s">
        <v>10</v>
      </c>
      <c r="E1071" s="2" t="str">
        <f>IFERROR(__xludf.DUMMYFUNCTION("REGEXREPLACE(A1071,""^Trường\s*"","""")"),"THCS Bút Sơn")</f>
        <v>THCS Bút Sơn</v>
      </c>
    </row>
    <row r="1072">
      <c r="A1072" s="1" t="s">
        <v>1154</v>
      </c>
      <c r="B1072" s="2" t="s">
        <v>1155</v>
      </c>
      <c r="C1072" s="2" t="s">
        <v>10</v>
      </c>
      <c r="E1072" s="2" t="str">
        <f>IFERROR(__xludf.DUMMYFUNCTION("REGEXREPLACE(A1072,""^Trường\s*"","""")"),"TH&amp;THCS Hoằng Đức 1")</f>
        <v>TH&amp;THCS Hoằng Đức 1</v>
      </c>
    </row>
    <row r="1073">
      <c r="A1073" s="1" t="s">
        <v>1156</v>
      </c>
      <c r="B1073" s="2" t="s">
        <v>1157</v>
      </c>
      <c r="C1073" s="2" t="s">
        <v>10</v>
      </c>
      <c r="E1073" s="2" t="str">
        <f>IFERROR(__xludf.DUMMYFUNCTION("REGEXREPLACE(A1073,""^Trường\s*"","""")"),"TH&amp;THCS Hoằng Hà")</f>
        <v>TH&amp;THCS Hoằng Hà</v>
      </c>
    </row>
    <row r="1074">
      <c r="A1074" s="1" t="s">
        <v>2256</v>
      </c>
      <c r="B1074" s="2" t="s">
        <v>2257</v>
      </c>
      <c r="C1074" s="2" t="s">
        <v>10</v>
      </c>
      <c r="E1074" s="2" t="str">
        <f>IFERROR(__xludf.DUMMYFUNCTION("REGEXREPLACE(A1074,""^Trường\s*"","""")"),"THCS Hoằng Đạt")</f>
        <v>THCS Hoằng Đạt</v>
      </c>
    </row>
    <row r="1075">
      <c r="A1075" s="1" t="s">
        <v>1162</v>
      </c>
      <c r="B1075" s="2" t="s">
        <v>1163</v>
      </c>
      <c r="C1075" s="2" t="s">
        <v>10</v>
      </c>
      <c r="E1075" s="2" t="str">
        <f>IFERROR(__xludf.DUMMYFUNCTION("REGEXREPLACE(A1075,""^Trường\s*"","""")"),"THamp;THCS Hoằng Đồng")</f>
        <v>THamp;THCS Hoằng Đồng</v>
      </c>
    </row>
    <row r="1076">
      <c r="A1076" s="1" t="s">
        <v>2260</v>
      </c>
      <c r="B1076" s="2" t="s">
        <v>2262</v>
      </c>
      <c r="C1076" s="2" t="s">
        <v>762</v>
      </c>
      <c r="E1076" s="2" t="str">
        <f>IFERROR(__xludf.DUMMYFUNCTION("REGEXREPLACE(A1076,""^Trường\s*"","""")"),"THCS Hoằng Thịnh")</f>
        <v>THCS Hoằng Thịnh</v>
      </c>
    </row>
    <row r="1077">
      <c r="A1077" s="1" t="s">
        <v>2265</v>
      </c>
      <c r="B1077" s="2" t="s">
        <v>2267</v>
      </c>
      <c r="C1077" s="2" t="s">
        <v>762</v>
      </c>
      <c r="E1077" s="2" t="str">
        <f>IFERROR(__xludf.DUMMYFUNCTION("REGEXREPLACE(A1077,""^Trường\s*"","""")"),"THCS Hoằng Thái")</f>
        <v>THCS Hoằng Thái</v>
      </c>
    </row>
    <row r="1078">
      <c r="A1078" s="1" t="s">
        <v>2270</v>
      </c>
      <c r="B1078" s="2" t="s">
        <v>2271</v>
      </c>
      <c r="C1078" s="2" t="s">
        <v>762</v>
      </c>
      <c r="E1078" s="2" t="str">
        <f>IFERROR(__xludf.DUMMYFUNCTION("REGEXREPLACE(A1078,""^Trường\s*"","""")"),"THCS Tố Như - Hoằng Lộc")</f>
        <v>THCS Tố Như - Hoằng Lộc</v>
      </c>
    </row>
    <row r="1079">
      <c r="A1079" s="1" t="s">
        <v>2274</v>
      </c>
      <c r="B1079" s="2" t="s">
        <v>2276</v>
      </c>
      <c r="C1079" s="2" t="s">
        <v>762</v>
      </c>
      <c r="E1079" s="2" t="str">
        <f>IFERROR(__xludf.DUMMYFUNCTION("REGEXREPLACE(A1079,""^Trường\s*"","""")"),"THCS Hoằng Thành")</f>
        <v>THCS Hoằng Thành</v>
      </c>
    </row>
    <row r="1080">
      <c r="A1080" s="1" t="s">
        <v>2279</v>
      </c>
      <c r="B1080" s="2" t="s">
        <v>2281</v>
      </c>
      <c r="C1080" s="2" t="s">
        <v>762</v>
      </c>
      <c r="E1080" s="2" t="str">
        <f>IFERROR(__xludf.DUMMYFUNCTION("REGEXREPLACE(A1080,""^Trường\s*"","""")"),"THCS Hoằng Trạch")</f>
        <v>THCS Hoằng Trạch</v>
      </c>
    </row>
    <row r="1081">
      <c r="A1081" s="1" t="s">
        <v>2284</v>
      </c>
      <c r="B1081" s="2" t="s">
        <v>2286</v>
      </c>
      <c r="C1081" s="2" t="s">
        <v>342</v>
      </c>
      <c r="E1081" s="2" t="str">
        <f>IFERROR(__xludf.DUMMYFUNCTION("REGEXREPLACE(A1081,""^Trường\s*"","""")"),"THCS Hoằng Đại")</f>
        <v>THCS Hoằng Đại</v>
      </c>
    </row>
    <row r="1082">
      <c r="A1082" s="1" t="s">
        <v>2289</v>
      </c>
      <c r="B1082" s="2" t="s">
        <v>2291</v>
      </c>
      <c r="C1082" s="2" t="s">
        <v>1089</v>
      </c>
      <c r="E1082" s="2" t="str">
        <f>IFERROR(__xludf.DUMMYFUNCTION("REGEXREPLACE(A1082,""^Trường\s*"","""")"),"THCS Hoằng Phong")</f>
        <v>THCS Hoằng Phong</v>
      </c>
    </row>
    <row r="1083">
      <c r="A1083" s="1" t="s">
        <v>2294</v>
      </c>
      <c r="B1083" s="2" t="s">
        <v>2296</v>
      </c>
      <c r="C1083" s="2" t="s">
        <v>1089</v>
      </c>
      <c r="E1083" s="2" t="str">
        <f>IFERROR(__xludf.DUMMYFUNCTION("REGEXREPLACE(A1083,""^Trường\s*"","""")"),"THCS Hoằng Lưu")</f>
        <v>THCS Hoằng Lưu</v>
      </c>
    </row>
    <row r="1084">
      <c r="A1084" s="1" t="s">
        <v>2299</v>
      </c>
      <c r="B1084" s="2" t="s">
        <v>2300</v>
      </c>
      <c r="C1084" s="2" t="s">
        <v>1089</v>
      </c>
      <c r="E1084" s="2" t="str">
        <f>IFERROR(__xludf.DUMMYFUNCTION("REGEXREPLACE(A1084,""^Trường\s*"","""")"),"THCS Hoằng Châu")</f>
        <v>THCS Hoằng Châu</v>
      </c>
    </row>
    <row r="1085">
      <c r="A1085" s="1" t="s">
        <v>2304</v>
      </c>
      <c r="B1085" s="2" t="s">
        <v>2306</v>
      </c>
      <c r="C1085" s="2" t="s">
        <v>762</v>
      </c>
      <c r="E1085" s="2" t="str">
        <f>IFERROR(__xludf.DUMMYFUNCTION("REGEXREPLACE(A1085,""^Trường\s*"","""")"),"THCS Hoằng Tân")</f>
        <v>THCS Hoằng Tân</v>
      </c>
    </row>
    <row r="1086">
      <c r="A1086" s="1" t="s">
        <v>2308</v>
      </c>
      <c r="B1086" s="2" t="s">
        <v>2310</v>
      </c>
      <c r="C1086" s="2" t="s">
        <v>10</v>
      </c>
      <c r="E1086" s="2" t="str">
        <f>IFERROR(__xludf.DUMMYFUNCTION("REGEXREPLACE(A1086,""^Trường\s*"","""")"),"THCS Hoằng Đạo")</f>
        <v>THCS Hoằng Đạo</v>
      </c>
    </row>
    <row r="1087">
      <c r="A1087" s="1" t="s">
        <v>2312</v>
      </c>
      <c r="B1087" s="2" t="s">
        <v>2313</v>
      </c>
      <c r="C1087" s="2" t="s">
        <v>1089</v>
      </c>
      <c r="E1087" s="2" t="str">
        <f>IFERROR(__xludf.DUMMYFUNCTION("REGEXREPLACE(A1087,""^Trường\s*"","""")"),"THCS Hoằng Thắng")</f>
        <v>THCS Hoằng Thắng</v>
      </c>
    </row>
    <row r="1088">
      <c r="A1088" s="1" t="s">
        <v>1352</v>
      </c>
      <c r="B1088" s="2" t="s">
        <v>1355</v>
      </c>
      <c r="C1088" s="2" t="s">
        <v>1343</v>
      </c>
      <c r="E1088" s="2" t="str">
        <f>IFERROR(__xludf.DUMMYFUNCTION("REGEXREPLACE(A1088,""^Trường\s*"","""")"),"TH&amp;THCS Hoằng Yến")</f>
        <v>TH&amp;THCS Hoằng Yến</v>
      </c>
    </row>
    <row r="1089">
      <c r="A1089" s="1" t="s">
        <v>2318</v>
      </c>
      <c r="B1089" s="2" t="s">
        <v>2320</v>
      </c>
      <c r="C1089" s="2" t="s">
        <v>1343</v>
      </c>
      <c r="E1089" s="2" t="str">
        <f>IFERROR(__xludf.DUMMYFUNCTION("REGEXREPLACE(A1089,""^Trường\s*"","""")"),"THCS Lê Quang Trường")</f>
        <v>THCS Lê Quang Trường</v>
      </c>
    </row>
    <row r="1090">
      <c r="A1090" s="1" t="s">
        <v>2321</v>
      </c>
      <c r="B1090" s="2" t="s">
        <v>2322</v>
      </c>
      <c r="C1090" s="2" t="s">
        <v>1343</v>
      </c>
      <c r="E1090" s="2" t="str">
        <f>IFERROR(__xludf.DUMMYFUNCTION("REGEXREPLACE(A1090,""^Trường\s*"","""")"),"THCS Hoằng Hải")</f>
        <v>THCS Hoằng Hải</v>
      </c>
    </row>
    <row r="1091">
      <c r="A1091" s="1" t="s">
        <v>2323</v>
      </c>
      <c r="B1091" s="2" t="s">
        <v>2325</v>
      </c>
      <c r="C1091" s="2" t="s">
        <v>1343</v>
      </c>
      <c r="E1091" s="2" t="str">
        <f>IFERROR(__xludf.DUMMYFUNCTION("REGEXREPLACE(A1091,""^Trường\s*"","""")"),"THCS Hoằng Trường")</f>
        <v>THCS Hoằng Trường</v>
      </c>
    </row>
    <row r="1092">
      <c r="A1092" s="1" t="s">
        <v>2326</v>
      </c>
      <c r="B1092" s="2" t="s">
        <v>2328</v>
      </c>
      <c r="C1092" s="2" t="s">
        <v>781</v>
      </c>
      <c r="E1092" s="2" t="str">
        <f>IFERROR(__xludf.DUMMYFUNCTION("REGEXREPLACE(A1092,""^Trường\s*"","""")"),"THCS Hoằng Đông")</f>
        <v>THCS Hoằng Đông</v>
      </c>
    </row>
    <row r="1093">
      <c r="A1093" s="1" t="s">
        <v>2331</v>
      </c>
      <c r="B1093" s="2" t="s">
        <v>2333</v>
      </c>
      <c r="C1093" s="2" t="s">
        <v>781</v>
      </c>
      <c r="E1093" s="2" t="str">
        <f>IFERROR(__xludf.DUMMYFUNCTION("REGEXREPLACE(A1093,""^Trường\s*"","""")"),"THCS Hoằng Thanh")</f>
        <v>THCS Hoằng Thanh</v>
      </c>
    </row>
    <row r="1094">
      <c r="A1094" s="1" t="s">
        <v>2337</v>
      </c>
      <c r="B1094" s="2" t="s">
        <v>2338</v>
      </c>
      <c r="C1094" s="2" t="s">
        <v>781</v>
      </c>
      <c r="E1094" s="2" t="str">
        <f>IFERROR(__xludf.DUMMYFUNCTION("REGEXREPLACE(A1094,""^Trường\s*"","""")"),"THCS Hoằng Phụ")</f>
        <v>THCS Hoằng Phụ</v>
      </c>
    </row>
    <row r="1095">
      <c r="A1095" s="1" t="s">
        <v>2341</v>
      </c>
      <c r="B1095" s="2" t="s">
        <v>2342</v>
      </c>
      <c r="C1095" s="2" t="s">
        <v>781</v>
      </c>
      <c r="E1095" s="2" t="str">
        <f>IFERROR(__xludf.DUMMYFUNCTION("REGEXREPLACE(A1095,""^Trường\s*"","""")"),"THCS Hoằng Ngọc")</f>
        <v>THCS Hoằng Ngọc</v>
      </c>
    </row>
    <row r="1096">
      <c r="A1096" s="1" t="s">
        <v>2348</v>
      </c>
      <c r="B1096" s="2" t="s">
        <v>2351</v>
      </c>
      <c r="C1096" s="2" t="s">
        <v>10</v>
      </c>
      <c r="E1096" s="2" t="str">
        <f>IFERROR(__xludf.DUMMYFUNCTION("REGEXREPLACE(A1096,""^Trường\s*"","""")"),"THCS Nhữ Bá Sỹ")</f>
        <v>THCS Nhữ Bá Sỹ</v>
      </c>
    </row>
    <row r="1097">
      <c r="A1097" s="1" t="s">
        <v>1009</v>
      </c>
      <c r="B1097" s="2" t="s">
        <v>1010</v>
      </c>
      <c r="C1097" s="2" t="s">
        <v>716</v>
      </c>
      <c r="E1097" s="2" t="str">
        <f>IFERROR(__xludf.DUMMYFUNCTION("REGEXREPLACE(A1097,""^Trường\s*"","""")"),"TH&amp;THCS Mỹ Lộc")</f>
        <v>TH&amp;THCS Mỹ Lộc</v>
      </c>
    </row>
    <row r="1098">
      <c r="A1098" s="1" t="s">
        <v>2358</v>
      </c>
      <c r="B1098" s="2" t="s">
        <v>2359</v>
      </c>
      <c r="C1098" s="2" t="s">
        <v>716</v>
      </c>
      <c r="E1098" s="2" t="str">
        <f>IFERROR(__xludf.DUMMYFUNCTION("REGEXREPLACE(A1098,""^Trường\s*"","""")"),"THCS Lộc Tân")</f>
        <v>THCS Lộc Tân</v>
      </c>
    </row>
    <row r="1099">
      <c r="A1099" s="1" t="s">
        <v>2363</v>
      </c>
      <c r="B1099" s="2" t="s">
        <v>2365</v>
      </c>
      <c r="C1099" s="2" t="s">
        <v>738</v>
      </c>
      <c r="E1099" s="2" t="str">
        <f>IFERROR(__xludf.DUMMYFUNCTION("REGEXREPLACE(A1099,""^Trường\s*"","""")"),"THCS Hoa Lộc")</f>
        <v>THCS Hoa Lộc</v>
      </c>
    </row>
    <row r="1100">
      <c r="A1100" s="1" t="s">
        <v>3403</v>
      </c>
      <c r="B1100" s="2" t="s">
        <v>2369</v>
      </c>
      <c r="C1100" s="2" t="s">
        <v>738</v>
      </c>
      <c r="E1100" s="2" t="str">
        <f>IFERROR(__xludf.DUMMYFUNCTION("REGEXREPLACE(A1100,""^Trường\s*"","""")"),"THCS XUÂN LỘC")</f>
        <v>THCS XUÂN LỘC</v>
      </c>
    </row>
    <row r="1101">
      <c r="A1101" s="1" t="s">
        <v>2370</v>
      </c>
      <c r="B1101" s="2" t="s">
        <v>2371</v>
      </c>
      <c r="C1101" s="2" t="s">
        <v>909</v>
      </c>
      <c r="E1101" s="2" t="str">
        <f>IFERROR(__xludf.DUMMYFUNCTION("REGEXREPLACE(A1101,""^Trường\s*"","""")"),"THCS Tuy Lộc")</f>
        <v>THCS Tuy Lộc</v>
      </c>
    </row>
    <row r="1102">
      <c r="A1102" s="1" t="s">
        <v>2372</v>
      </c>
      <c r="B1102" s="2" t="s">
        <v>2373</v>
      </c>
      <c r="C1102" s="2" t="s">
        <v>1348</v>
      </c>
      <c r="E1102" s="2" t="str">
        <f>IFERROR(__xludf.DUMMYFUNCTION("REGEXREPLACE(A1102,""^Trường\s*"","""")"),"THCS Đại Lộc")</f>
        <v>THCS Đại Lộc</v>
      </c>
    </row>
    <row r="1103">
      <c r="A1103" s="1" t="s">
        <v>2374</v>
      </c>
      <c r="B1103" s="2" t="s">
        <v>2375</v>
      </c>
      <c r="C1103" s="2" t="s">
        <v>1348</v>
      </c>
      <c r="E1103" s="2" t="str">
        <f>IFERROR(__xludf.DUMMYFUNCTION("REGEXREPLACE(A1103,""^Trường\s*"","""")"),"THCS Triệu Lộc")</f>
        <v>THCS Triệu Lộc</v>
      </c>
    </row>
    <row r="1104">
      <c r="A1104" s="1" t="s">
        <v>2376</v>
      </c>
      <c r="B1104" s="2" t="s">
        <v>2377</v>
      </c>
      <c r="C1104" s="2" t="s">
        <v>1348</v>
      </c>
      <c r="E1104" s="2" t="str">
        <f>IFERROR(__xludf.DUMMYFUNCTION("REGEXREPLACE(A1104,""^Trường\s*"","""")"),"THCS Tiến Lộc")</f>
        <v>THCS Tiến Lộc</v>
      </c>
    </row>
    <row r="1105">
      <c r="A1105" s="1" t="s">
        <v>2378</v>
      </c>
      <c r="B1105" s="2" t="s">
        <v>2379</v>
      </c>
      <c r="C1105" s="2" t="s">
        <v>1410</v>
      </c>
      <c r="E1105" s="2" t="str">
        <f>IFERROR(__xludf.DUMMYFUNCTION("REGEXREPLACE(A1105,""^Trường\s*"","""")"),"THCS Ngư Lộc")</f>
        <v>THCS Ngư Lộc</v>
      </c>
    </row>
    <row r="1106">
      <c r="A1106" s="1" t="s">
        <v>2380</v>
      </c>
      <c r="B1106" s="2" t="s">
        <v>2381</v>
      </c>
      <c r="C1106" s="2" t="s">
        <v>716</v>
      </c>
      <c r="E1106" s="2" t="str">
        <f>IFERROR(__xludf.DUMMYFUNCTION("REGEXREPLACE(A1106,""^Trường\s*"","""")"),"THCS Hậu Lộc")</f>
        <v>THCS Hậu Lộc</v>
      </c>
    </row>
    <row r="1107">
      <c r="A1107" s="1" t="s">
        <v>2382</v>
      </c>
      <c r="B1107" s="2" t="s">
        <v>2383</v>
      </c>
      <c r="C1107" s="2" t="s">
        <v>1410</v>
      </c>
      <c r="E1107" s="2" t="str">
        <f>IFERROR(__xludf.DUMMYFUNCTION("REGEXREPLACE(A1107,""^Trường\s*"","""")"),"THCS Minh Lộc")</f>
        <v>THCS Minh Lộc</v>
      </c>
    </row>
    <row r="1108">
      <c r="A1108" s="1" t="s">
        <v>2384</v>
      </c>
      <c r="B1108" s="2" t="s">
        <v>2385</v>
      </c>
      <c r="C1108" s="2" t="s">
        <v>1410</v>
      </c>
      <c r="E1108" s="2" t="str">
        <f>IFERROR(__xludf.DUMMYFUNCTION("REGEXREPLACE(A1108,""^Trường\s*"","""")"),"THCS Hải Lộc")</f>
        <v>THCS Hải Lộc</v>
      </c>
    </row>
    <row r="1109">
      <c r="A1109" s="1" t="s">
        <v>2386</v>
      </c>
      <c r="B1109" s="2" t="s">
        <v>2387</v>
      </c>
      <c r="C1109" s="2" t="s">
        <v>909</v>
      </c>
      <c r="E1109" s="2" t="str">
        <f>IFERROR(__xludf.DUMMYFUNCTION("REGEXREPLACE(A1109,""^Trường\s*"","""")"),"THCS Cầu Lộc")</f>
        <v>THCS Cầu Lộc</v>
      </c>
    </row>
    <row r="1110">
      <c r="A1110" s="1" t="s">
        <v>2388</v>
      </c>
      <c r="B1110" s="2" t="s">
        <v>2389</v>
      </c>
      <c r="C1110" s="2" t="s">
        <v>738</v>
      </c>
      <c r="E1110" s="2" t="str">
        <f>IFERROR(__xludf.DUMMYFUNCTION("REGEXREPLACE(A1110,""^Trường\s*"","""")"),"THCS Phú Lộc")</f>
        <v>THCS Phú Lộc</v>
      </c>
    </row>
    <row r="1111">
      <c r="A1111" s="1" t="s">
        <v>2390</v>
      </c>
      <c r="B1111" s="2" t="s">
        <v>2391</v>
      </c>
      <c r="C1111" s="2" t="s">
        <v>1410</v>
      </c>
      <c r="E1111" s="2" t="str">
        <f>IFERROR(__xludf.DUMMYFUNCTION("REGEXREPLACE(A1111,""^Trường\s*"","""")"),"THCS Đa Lộc")</f>
        <v>THCS Đa Lộc</v>
      </c>
    </row>
    <row r="1112">
      <c r="A1112" s="1" t="s">
        <v>2392</v>
      </c>
      <c r="B1112" s="2" t="s">
        <v>2393</v>
      </c>
      <c r="C1112" s="2" t="s">
        <v>909</v>
      </c>
      <c r="E1112" s="2" t="str">
        <f>IFERROR(__xludf.DUMMYFUNCTION("REGEXREPLACE(A1112,""^Trường\s*"","""")"),"THCS Thành Lộc")</f>
        <v>THCS Thành Lộc</v>
      </c>
    </row>
    <row r="1113">
      <c r="A1113" s="1" t="s">
        <v>2394</v>
      </c>
      <c r="B1113" s="2" t="s">
        <v>2395</v>
      </c>
      <c r="C1113" s="2" t="s">
        <v>909</v>
      </c>
      <c r="E1113" s="2" t="str">
        <f>IFERROR(__xludf.DUMMYFUNCTION("REGEXREPLACE(A1113,""^Trường\s*"","""")"),"THCS Đồng Lộc")</f>
        <v>THCS Đồng Lộc</v>
      </c>
    </row>
    <row r="1114">
      <c r="A1114" s="1" t="s">
        <v>2396</v>
      </c>
      <c r="B1114" s="2" t="s">
        <v>2397</v>
      </c>
      <c r="C1114" s="2" t="s">
        <v>716</v>
      </c>
      <c r="E1114" s="2" t="str">
        <f>IFERROR(__xludf.DUMMYFUNCTION("REGEXREPLACE(A1114,""^Trường\s*"","""")"),"THCS Thuần Lộc")</f>
        <v>THCS Thuần Lộc</v>
      </c>
    </row>
    <row r="1115">
      <c r="A1115" s="1" t="s">
        <v>923</v>
      </c>
      <c r="B1115" s="2" t="s">
        <v>925</v>
      </c>
      <c r="C1115" s="2" t="s">
        <v>909</v>
      </c>
      <c r="E1115" s="2" t="str">
        <f>IFERROR(__xludf.DUMMYFUNCTION("REGEXREPLACE(A1115,""^Trường\s*"","""")"),"TH&amp;THCS Phong Lộc")</f>
        <v>TH&amp;THCS Phong Lộc</v>
      </c>
    </row>
    <row r="1116">
      <c r="A1116" s="1" t="s">
        <v>2398</v>
      </c>
      <c r="B1116" s="2" t="s">
        <v>2399</v>
      </c>
      <c r="C1116" s="2" t="s">
        <v>738</v>
      </c>
      <c r="E1116" s="2" t="str">
        <f>IFERROR(__xludf.DUMMYFUNCTION("REGEXREPLACE(A1116,""^Trường\s*"","""")"),"THCS Quang Lộc")</f>
        <v>THCS Quang Lộc</v>
      </c>
    </row>
    <row r="1117">
      <c r="A1117" s="1" t="s">
        <v>2400</v>
      </c>
      <c r="B1117" s="2" t="s">
        <v>2401</v>
      </c>
      <c r="C1117" s="2" t="s">
        <v>716</v>
      </c>
      <c r="E1117" s="2" t="str">
        <f>IFERROR(__xludf.DUMMYFUNCTION("REGEXREPLACE(A1117,""^Trường\s*"","""")"),"THCS Lê Hữu Lập")</f>
        <v>THCS Lê Hữu Lập</v>
      </c>
    </row>
    <row r="1118">
      <c r="A1118" s="1" t="s">
        <v>1013</v>
      </c>
      <c r="B1118" s="2" t="s">
        <v>1015</v>
      </c>
      <c r="C1118" s="2" t="s">
        <v>716</v>
      </c>
      <c r="E1118" s="2" t="str">
        <f>IFERROR(__xludf.DUMMYFUNCTION("REGEXREPLACE(A1118,""^Trường\s*"","""")"),"THamp;THCS Lộc Sơn")</f>
        <v>THamp;THCS Lộc Sơn</v>
      </c>
    </row>
    <row r="1119">
      <c r="A1119" s="1" t="s">
        <v>2402</v>
      </c>
      <c r="B1119" s="2" t="s">
        <v>2403</v>
      </c>
      <c r="C1119" s="2" t="s">
        <v>738</v>
      </c>
      <c r="E1119" s="2" t="str">
        <f>IFERROR(__xludf.DUMMYFUNCTION("REGEXREPLACE(A1119,""^Trường\s*"","""")"),"THCS Liên Lộc")</f>
        <v>THCS Liên Lộc</v>
      </c>
    </row>
    <row r="1120">
      <c r="A1120" s="1" t="s">
        <v>2404</v>
      </c>
      <c r="B1120" s="2" t="s">
        <v>2405</v>
      </c>
      <c r="C1120" s="2" t="s">
        <v>1410</v>
      </c>
      <c r="E1120" s="2" t="str">
        <f>IFERROR(__xludf.DUMMYFUNCTION("REGEXREPLACE(A1120,""^Trường\s*"","""")"),"THCS Hưng Lộc")</f>
        <v>THCS Hưng Lộc</v>
      </c>
    </row>
    <row r="1121">
      <c r="A1121" s="1" t="s">
        <v>2406</v>
      </c>
      <c r="B1121" s="2" t="s">
        <v>2407</v>
      </c>
      <c r="C1121" s="2" t="s">
        <v>738</v>
      </c>
      <c r="E1121" s="2" t="str">
        <f>IFERROR(__xludf.DUMMYFUNCTION("REGEXREPLACE(A1121,""^Trường\s*"","""")"),"THCS Hòa Lộc")</f>
        <v>THCS Hòa Lộc</v>
      </c>
    </row>
    <row r="1122">
      <c r="A1122" s="1" t="s">
        <v>1661</v>
      </c>
      <c r="B1122" s="2" t="s">
        <v>1662</v>
      </c>
      <c r="C1122" s="2" t="s">
        <v>1647</v>
      </c>
      <c r="E1122" s="2" t="str">
        <f>IFERROR(__xludf.DUMMYFUNCTION("REGEXREPLACE(A1122,""^Trường\s*"","""")"),"TH&amp;THCS Nga Văn")</f>
        <v>TH&amp;THCS Nga Văn</v>
      </c>
    </row>
    <row r="1123">
      <c r="A1123" s="1" t="s">
        <v>2408</v>
      </c>
      <c r="B1123" s="2" t="s">
        <v>2409</v>
      </c>
      <c r="C1123" s="2" t="s">
        <v>1647</v>
      </c>
      <c r="E1123" s="2" t="str">
        <f>IFERROR(__xludf.DUMMYFUNCTION("REGEXREPLACE(A1123,""^Trường\s*"","""")"),"THCS Nga Phượng 1")</f>
        <v>THCS Nga Phượng 1</v>
      </c>
    </row>
    <row r="1124">
      <c r="A1124" s="1" t="s">
        <v>2410</v>
      </c>
      <c r="B1124" s="2" t="s">
        <v>2411</v>
      </c>
      <c r="C1124" s="2" t="s">
        <v>1647</v>
      </c>
      <c r="E1124" s="2" t="str">
        <f>IFERROR(__xludf.DUMMYFUNCTION("REGEXREPLACE(A1124,""^Trường\s*"","""")"),"THCS Nga Thắng")</f>
        <v>THCS Nga Thắng</v>
      </c>
    </row>
    <row r="1125">
      <c r="A1125" s="1" t="s">
        <v>2412</v>
      </c>
      <c r="B1125" s="2" t="s">
        <v>2413</v>
      </c>
      <c r="C1125" s="2" t="s">
        <v>944</v>
      </c>
      <c r="E1125" s="2" t="str">
        <f>IFERROR(__xludf.DUMMYFUNCTION("REGEXREPLACE(A1125,""^Trường\s*"","""")"),"THCS Nga Thuỷ")</f>
        <v>THCS Nga Thuỷ</v>
      </c>
    </row>
    <row r="1126">
      <c r="A1126" s="1" t="s">
        <v>546</v>
      </c>
      <c r="B1126" s="2" t="s">
        <v>547</v>
      </c>
      <c r="C1126" s="2" t="s">
        <v>536</v>
      </c>
      <c r="E1126" s="2" t="str">
        <f>IFERROR(__xludf.DUMMYFUNCTION("REGEXREPLACE(A1126,""^Trường\s*"","""")"),"TH&amp;THCS Nga Vịnh")</f>
        <v>TH&amp;THCS Nga Vịnh</v>
      </c>
    </row>
    <row r="1127">
      <c r="A1127" s="1" t="s">
        <v>2414</v>
      </c>
      <c r="B1127" s="2" t="s">
        <v>2415</v>
      </c>
      <c r="C1127" s="2" t="s">
        <v>729</v>
      </c>
      <c r="E1127" s="2" t="str">
        <f>IFERROR(__xludf.DUMMYFUNCTION("REGEXREPLACE(A1127,""^Trường\s*"","""")"),"THCS Nga Hải")</f>
        <v>THCS Nga Hải</v>
      </c>
    </row>
    <row r="1128">
      <c r="A1128" s="1" t="s">
        <v>2416</v>
      </c>
      <c r="B1128" s="2" t="s">
        <v>2417</v>
      </c>
      <c r="C1128" s="2" t="s">
        <v>729</v>
      </c>
      <c r="E1128" s="2" t="str">
        <f>IFERROR(__xludf.DUMMYFUNCTION("REGEXREPLACE(A1128,""^Trường\s*"","""")"),"THCS Nga Liên")</f>
        <v>THCS Nga Liên</v>
      </c>
    </row>
    <row r="1129">
      <c r="A1129" s="1" t="s">
        <v>2418</v>
      </c>
      <c r="B1129" s="2" t="s">
        <v>2419</v>
      </c>
      <c r="C1129" s="2" t="s">
        <v>729</v>
      </c>
      <c r="E1129" s="2" t="str">
        <f>IFERROR(__xludf.DUMMYFUNCTION("REGEXREPLACE(A1129,""^Trường\s*"","""")"),"THCS Nga Giáp")</f>
        <v>THCS Nga Giáp</v>
      </c>
    </row>
    <row r="1130">
      <c r="A1130" s="1" t="s">
        <v>2420</v>
      </c>
      <c r="B1130" s="2" t="s">
        <v>2421</v>
      </c>
      <c r="C1130" s="2" t="s">
        <v>729</v>
      </c>
      <c r="E1130" s="2" t="str">
        <f>IFERROR(__xludf.DUMMYFUNCTION("REGEXREPLACE(A1130,""^Trường\s*"","""")"),"THCS Nga Thành")</f>
        <v>THCS Nga Thành</v>
      </c>
    </row>
    <row r="1131">
      <c r="A1131" s="1" t="s">
        <v>2422</v>
      </c>
      <c r="B1131" s="2" t="s">
        <v>2423</v>
      </c>
      <c r="C1131" s="2" t="s">
        <v>1647</v>
      </c>
      <c r="E1131" s="2" t="str">
        <f>IFERROR(__xludf.DUMMYFUNCTION("REGEXREPLACE(A1131,""^Trường\s*"","""")"),"THCS Nga Thạch")</f>
        <v>THCS Nga Thạch</v>
      </c>
    </row>
    <row r="1132">
      <c r="A1132" s="1" t="s">
        <v>2424</v>
      </c>
      <c r="B1132" s="2" t="s">
        <v>2425</v>
      </c>
      <c r="C1132" s="2" t="s">
        <v>1647</v>
      </c>
      <c r="E1132" s="2" t="str">
        <f>IFERROR(__xludf.DUMMYFUNCTION("REGEXREPLACE(A1132,""^Trường\s*"","""")"),"THCS Nga Phượng 2")</f>
        <v>THCS Nga Phượng 2</v>
      </c>
    </row>
    <row r="1133">
      <c r="A1133" s="1" t="s">
        <v>2426</v>
      </c>
      <c r="B1133" s="2" t="s">
        <v>2427</v>
      </c>
      <c r="C1133" s="2" t="s">
        <v>1993</v>
      </c>
      <c r="E1133" s="2" t="str">
        <f>IFERROR(__xludf.DUMMYFUNCTION("REGEXREPLACE(A1133,""^Trường\s*"","""")"),"THCS Nga Tiến")</f>
        <v>THCS Nga Tiến</v>
      </c>
    </row>
    <row r="1134">
      <c r="A1134" s="1" t="s">
        <v>2428</v>
      </c>
      <c r="B1134" s="2" t="s">
        <v>2429</v>
      </c>
      <c r="C1134" s="2" t="s">
        <v>1606</v>
      </c>
      <c r="E1134" s="2" t="str">
        <f>IFERROR(__xludf.DUMMYFUNCTION("REGEXREPLACE(A1134,""^Trường\s*"","""")"),"THCS Nga Điền")</f>
        <v>THCS Nga Điền</v>
      </c>
    </row>
    <row r="1135">
      <c r="A1135" s="1" t="s">
        <v>2430</v>
      </c>
      <c r="B1135" s="2" t="s">
        <v>2431</v>
      </c>
      <c r="C1135" s="2" t="s">
        <v>1993</v>
      </c>
      <c r="E1135" s="2" t="str">
        <f>IFERROR(__xludf.DUMMYFUNCTION("REGEXREPLACE(A1135,""^Trường\s*"","""")"),"THCS Nga Thái")</f>
        <v>THCS Nga Thái</v>
      </c>
    </row>
    <row r="1136">
      <c r="A1136" s="1" t="s">
        <v>2432</v>
      </c>
      <c r="B1136" s="2" t="s">
        <v>2433</v>
      </c>
      <c r="C1136" s="2" t="s">
        <v>1606</v>
      </c>
      <c r="E1136" s="2" t="str">
        <f>IFERROR(__xludf.DUMMYFUNCTION("REGEXREPLACE(A1136,""^Trường\s*"","""")"),"THCS Nga Phú")</f>
        <v>THCS Nga Phú</v>
      </c>
    </row>
    <row r="1137">
      <c r="A1137" s="1" t="s">
        <v>2434</v>
      </c>
      <c r="B1137" s="2" t="s">
        <v>2435</v>
      </c>
      <c r="C1137" s="2" t="s">
        <v>944</v>
      </c>
      <c r="E1137" s="2" t="str">
        <f>IFERROR(__xludf.DUMMYFUNCTION("REGEXREPLACE(A1137,""^Trường\s*"","""")"),"THCS Nga Thanh")</f>
        <v>THCS Nga Thanh</v>
      </c>
    </row>
    <row r="1138">
      <c r="A1138" s="1" t="s">
        <v>2436</v>
      </c>
      <c r="B1138" s="2" t="s">
        <v>2437</v>
      </c>
      <c r="C1138" s="2" t="s">
        <v>1993</v>
      </c>
      <c r="E1138" s="2" t="str">
        <f>IFERROR(__xludf.DUMMYFUNCTION("REGEXREPLACE(A1138,""^Trường\s*"","""")"),"THCS Nga Tân")</f>
        <v>THCS Nga Tân</v>
      </c>
    </row>
    <row r="1139">
      <c r="A1139" s="1" t="s">
        <v>2439</v>
      </c>
      <c r="B1139" s="2" t="s">
        <v>2440</v>
      </c>
      <c r="C1139" s="2" t="s">
        <v>944</v>
      </c>
      <c r="E1139" s="2" t="str">
        <f>IFERROR(__xludf.DUMMYFUNCTION("REGEXREPLACE(A1139,""^Trường\s*"","""")"),"THCS Nga Trung")</f>
        <v>THCS Nga Trung</v>
      </c>
    </row>
    <row r="1140">
      <c r="A1140" s="1" t="s">
        <v>2441</v>
      </c>
      <c r="B1140" s="2" t="s">
        <v>2442</v>
      </c>
      <c r="C1140" s="2" t="s">
        <v>944</v>
      </c>
      <c r="E1140" s="2" t="str">
        <f>IFERROR(__xludf.DUMMYFUNCTION("REGEXREPLACE(A1140,""^Trường\s*"","""")"),"THCS Nga Yên")</f>
        <v>THCS Nga Yên</v>
      </c>
    </row>
    <row r="1141">
      <c r="A1141" s="1" t="s">
        <v>2445</v>
      </c>
      <c r="B1141" s="2" t="s">
        <v>2446</v>
      </c>
      <c r="C1141" s="2" t="s">
        <v>944</v>
      </c>
      <c r="E1141" s="2" t="str">
        <f>IFERROR(__xludf.DUMMYFUNCTION("REGEXREPLACE(A1141,""^Trường\s*"","""")"),"THCS Nga Sơn")</f>
        <v>THCS Nga Sơn</v>
      </c>
    </row>
    <row r="1142">
      <c r="A1142" s="1" t="s">
        <v>2449</v>
      </c>
      <c r="B1142" s="2" t="s">
        <v>2452</v>
      </c>
      <c r="C1142" s="2" t="s">
        <v>944</v>
      </c>
      <c r="E1142" s="2" t="str">
        <f>IFERROR(__xludf.DUMMYFUNCTION("REGEXREPLACE(A1142,""^Trường\s*"","""")"),"THCS Nga Bạch")</f>
        <v>THCS Nga Bạch</v>
      </c>
    </row>
    <row r="1143">
      <c r="A1143" s="1" t="s">
        <v>2456</v>
      </c>
      <c r="B1143" s="2" t="s">
        <v>2457</v>
      </c>
      <c r="C1143" s="2" t="s">
        <v>536</v>
      </c>
      <c r="E1143" s="2" t="str">
        <f>IFERROR(__xludf.DUMMYFUNCTION("REGEXREPLACE(A1143,""^Trường\s*"","""")"),"THCS Nga Trường")</f>
        <v>THCS Nga Trường</v>
      </c>
    </row>
    <row r="1144">
      <c r="A1144" s="1" t="s">
        <v>2460</v>
      </c>
      <c r="B1144" s="2" t="s">
        <v>2462</v>
      </c>
      <c r="C1144" s="2" t="s">
        <v>536</v>
      </c>
      <c r="E1144" s="2" t="str">
        <f>IFERROR(__xludf.DUMMYFUNCTION("REGEXREPLACE(A1144,""^Trường\s*"","""")"),"THCS Nga Thiện")</f>
        <v>THCS Nga Thiện</v>
      </c>
    </row>
    <row r="1145">
      <c r="A1145" s="1" t="s">
        <v>217</v>
      </c>
      <c r="B1145" s="2" t="s">
        <v>2467</v>
      </c>
      <c r="C1145" s="2" t="s">
        <v>536</v>
      </c>
      <c r="E1145" s="2" t="str">
        <f>IFERROR(__xludf.DUMMYFUNCTION("REGEXREPLACE(A1145,""^Trường\s*"","""")"),"THCS Ba Đình")</f>
        <v>THCS Ba Đình</v>
      </c>
    </row>
    <row r="1146">
      <c r="A1146" s="1" t="s">
        <v>2470</v>
      </c>
      <c r="B1146" s="2" t="s">
        <v>2471</v>
      </c>
      <c r="C1146" s="2" t="s">
        <v>944</v>
      </c>
      <c r="E1146" s="2" t="str">
        <f>IFERROR(__xludf.DUMMYFUNCTION("REGEXREPLACE(A1146,""^Trường\s*"","""")"),"THCS Chu Văn An")</f>
        <v>THCS Chu Văn An</v>
      </c>
    </row>
    <row r="1147">
      <c r="A1147" s="1" t="s">
        <v>2474</v>
      </c>
      <c r="B1147" s="2" t="s">
        <v>2476</v>
      </c>
      <c r="C1147" s="2" t="s">
        <v>1606</v>
      </c>
      <c r="E1147" s="2" t="str">
        <f>IFERROR(__xludf.DUMMYFUNCTION("REGEXREPLACE(A1147,""^Trường\s*"","""")"),"THCS Nga An")</f>
        <v>THCS Nga An</v>
      </c>
    </row>
    <row r="1148">
      <c r="A1148" s="1" t="s">
        <v>1073</v>
      </c>
      <c r="B1148" s="2" t="s">
        <v>1075</v>
      </c>
      <c r="C1148" s="2" t="s">
        <v>1076</v>
      </c>
      <c r="E1148" s="2" t="str">
        <f>IFERROR(__xludf.DUMMYFUNCTION("REGEXREPLACE(A1148,""^Trường\s*"","""")"),"TH amp; THCS Bình Lương")</f>
        <v>TH amp; THCS Bình Lương</v>
      </c>
    </row>
    <row r="1149">
      <c r="A1149" s="1" t="s">
        <v>2483</v>
      </c>
      <c r="B1149" s="2" t="s">
        <v>2484</v>
      </c>
      <c r="C1149" s="2" t="s">
        <v>1076</v>
      </c>
      <c r="E1149" s="2" t="str">
        <f>IFERROR(__xludf.DUMMYFUNCTION("REGEXREPLACE(A1149,""^Trường\s*"","""")"),"THCS Hóa Quỳ")</f>
        <v>THCS Hóa Quỳ</v>
      </c>
    </row>
    <row r="1150">
      <c r="A1150" s="1" t="s">
        <v>1747</v>
      </c>
      <c r="B1150" s="2" t="s">
        <v>1748</v>
      </c>
      <c r="C1150" s="2" t="s">
        <v>1014</v>
      </c>
      <c r="E1150" s="2" t="str">
        <f>IFERROR(__xludf.DUMMYFUNCTION("REGEXREPLACE(A1150,""^Trường\s*"","""")"),"THamp;THCS Tân Bình")</f>
        <v>THamp;THCS Tân Bình</v>
      </c>
    </row>
    <row r="1151">
      <c r="A1151" s="1" t="s">
        <v>2350</v>
      </c>
      <c r="B1151" s="2" t="s">
        <v>2352</v>
      </c>
      <c r="C1151" s="2" t="s">
        <v>2345</v>
      </c>
      <c r="E1151" s="2" t="str">
        <f>IFERROR(__xludf.DUMMYFUNCTION("REGEXREPLACE(A1151,""^Trường\s*"","""")"),"THamp;THCS Cát Vân")</f>
        <v>THamp;THCS Cát Vân</v>
      </c>
    </row>
    <row r="1152">
      <c r="A1152" s="1" t="s">
        <v>2490</v>
      </c>
      <c r="B1152" s="2" t="s">
        <v>2491</v>
      </c>
      <c r="C1152" s="2" t="s">
        <v>1435</v>
      </c>
      <c r="E1152" s="2" t="str">
        <f>IFERROR(__xludf.DUMMYFUNCTION("REGEXREPLACE(A1152,""^Trường\s*"","""")"),"THCS Bãi Trành")</f>
        <v>THCS Bãi Trành</v>
      </c>
    </row>
    <row r="1153">
      <c r="A1153" s="1" t="s">
        <v>2495</v>
      </c>
      <c r="B1153" s="2" t="s">
        <v>2497</v>
      </c>
      <c r="C1153" s="2" t="s">
        <v>2345</v>
      </c>
      <c r="E1153" s="2" t="str">
        <f>IFERROR(__xludf.DUMMYFUNCTION("REGEXREPLACE(A1153,""^Trường\s*"","""")"),"THCS Thượng Ninh")</f>
        <v>THCS Thượng Ninh</v>
      </c>
    </row>
    <row r="1154">
      <c r="A1154" s="1" t="s">
        <v>2500</v>
      </c>
      <c r="B1154" s="2" t="s">
        <v>2501</v>
      </c>
      <c r="C1154" s="2" t="s">
        <v>1014</v>
      </c>
      <c r="E1154" s="2" t="str">
        <f>IFERROR(__xludf.DUMMYFUNCTION("REGEXREPLACE(A1154,""^Trường\s*"","""")"),"PTDT NT THCS Như Xuân")</f>
        <v>PTDT NT THCS Như Xuân</v>
      </c>
    </row>
    <row r="1155">
      <c r="A1155" s="1" t="s">
        <v>2504</v>
      </c>
      <c r="B1155" s="2" t="s">
        <v>2505</v>
      </c>
      <c r="C1155" s="2" t="s">
        <v>2139</v>
      </c>
      <c r="E1155" s="2" t="str">
        <f>IFERROR(__xludf.DUMMYFUNCTION("REGEXREPLACE(A1155,""^Trường\s*"","""")"),"THCS Thanh Phong")</f>
        <v>THCS Thanh Phong</v>
      </c>
    </row>
    <row r="1156">
      <c r="A1156" s="1" t="s">
        <v>2507</v>
      </c>
      <c r="B1156" s="2" t="s">
        <v>2510</v>
      </c>
      <c r="C1156" s="2" t="s">
        <v>67</v>
      </c>
      <c r="E1156" s="2" t="str">
        <f>IFERROR(__xludf.DUMMYFUNCTION("REGEXREPLACE(A1156,""^Trường\s*"","""")"),"THCS Thanh Xuân")</f>
        <v>THCS Thanh Xuân</v>
      </c>
    </row>
    <row r="1157">
      <c r="A1157" s="1" t="s">
        <v>1750</v>
      </c>
      <c r="B1157" s="2" t="s">
        <v>1752</v>
      </c>
      <c r="C1157" s="2" t="s">
        <v>1014</v>
      </c>
      <c r="E1157" s="2" t="str">
        <f>IFERROR(__xludf.DUMMYFUNCTION("REGEXREPLACE(A1157,""^Trường\s*"","""")"),"TH Và THCS Yên Lễ")</f>
        <v>TH Và THCS Yên Lễ</v>
      </c>
    </row>
    <row r="1158">
      <c r="A1158" s="1" t="s">
        <v>2513</v>
      </c>
      <c r="B1158" s="2" t="s">
        <v>2514</v>
      </c>
      <c r="C1158" s="2" t="s">
        <v>2139</v>
      </c>
      <c r="E1158" s="2" t="str">
        <f>IFERROR(__xludf.DUMMYFUNCTION("REGEXREPLACE(A1158,""^Trường\s*"","""")"),"THCS Thanh Lâm")</f>
        <v>THCS Thanh Lâm</v>
      </c>
    </row>
    <row r="1159">
      <c r="A1159" s="1" t="s">
        <v>2519</v>
      </c>
      <c r="B1159" s="2" t="s">
        <v>2520</v>
      </c>
      <c r="C1159" s="2" t="s">
        <v>2345</v>
      </c>
      <c r="E1159" s="2" t="str">
        <f>IFERROR(__xludf.DUMMYFUNCTION("REGEXREPLACE(A1159,""^Trường\s*"","""")"),"THCS Cát Tân")</f>
        <v>THCS Cát Tân</v>
      </c>
    </row>
    <row r="1160">
      <c r="A1160" s="1" t="s">
        <v>2523</v>
      </c>
      <c r="B1160" s="2" t="s">
        <v>2524</v>
      </c>
      <c r="C1160" s="2" t="s">
        <v>1014</v>
      </c>
      <c r="E1160" s="2" t="str">
        <f>IFERROR(__xludf.DUMMYFUNCTION("REGEXREPLACE(A1160,""^Trường\s*"","""")"),"THCS Yên Cát")</f>
        <v>THCS Yên Cát</v>
      </c>
    </row>
    <row r="1161">
      <c r="A1161" s="1" t="s">
        <v>2528</v>
      </c>
      <c r="B1161" s="2" t="s">
        <v>2530</v>
      </c>
      <c r="C1161" s="2" t="s">
        <v>1435</v>
      </c>
      <c r="E1161" s="2" t="str">
        <f>IFERROR(__xludf.DUMMYFUNCTION("REGEXREPLACE(A1161,""^Trường\s*"","""")"),"THCS Xuân Bình")</f>
        <v>THCS Xuân Bình</v>
      </c>
    </row>
    <row r="1162">
      <c r="A1162" s="1" t="s">
        <v>2533</v>
      </c>
      <c r="B1162" s="2" t="s">
        <v>2534</v>
      </c>
      <c r="C1162" s="2" t="s">
        <v>67</v>
      </c>
      <c r="E1162" s="2" t="str">
        <f>IFERROR(__xludf.DUMMYFUNCTION("REGEXREPLACE(A1162,""^Trường\s*"","""")"),"THCS Thanh Sơn")</f>
        <v>THCS Thanh Sơn</v>
      </c>
    </row>
    <row r="1163">
      <c r="A1163" s="1" t="s">
        <v>2144</v>
      </c>
      <c r="B1163" s="2" t="s">
        <v>2145</v>
      </c>
      <c r="C1163" s="2" t="s">
        <v>2139</v>
      </c>
      <c r="E1163" s="2" t="str">
        <f>IFERROR(__xludf.DUMMYFUNCTION("REGEXREPLACE(A1163,""^Trường\s*"","""")"),"THamp;THCS Thanh Hòa")</f>
        <v>THamp;THCS Thanh Hòa</v>
      </c>
    </row>
    <row r="1164">
      <c r="A1164" s="1" t="s">
        <v>1085</v>
      </c>
      <c r="B1164" s="2" t="s">
        <v>1086</v>
      </c>
      <c r="C1164" s="2" t="s">
        <v>1076</v>
      </c>
      <c r="E1164" s="2" t="str">
        <f>IFERROR(__xludf.DUMMYFUNCTION("REGEXREPLACE(A1164,""^Trường\s*"","""")"),"TH&amp;THCS Xuân Quỳ")</f>
        <v>TH&amp;THCS Xuân Quỳ</v>
      </c>
    </row>
    <row r="1165">
      <c r="A1165" s="1" t="s">
        <v>1631</v>
      </c>
      <c r="B1165" s="2" t="s">
        <v>2542</v>
      </c>
      <c r="C1165" s="2" t="s">
        <v>1435</v>
      </c>
      <c r="E1165" s="2" t="str">
        <f>IFERROR(__xludf.DUMMYFUNCTION("REGEXREPLACE(A1165,""^Trường\s*"","""")"),"THCS Xuân Hòa")</f>
        <v>THCS Xuân Hòa</v>
      </c>
    </row>
    <row r="1166">
      <c r="A1166" s="1" t="s">
        <v>1547</v>
      </c>
      <c r="B1166" s="2" t="s">
        <v>2546</v>
      </c>
      <c r="C1166" s="2" t="s">
        <v>2547</v>
      </c>
      <c r="E1166" s="2" t="str">
        <f>IFERROR(__xludf.DUMMYFUNCTION("REGEXREPLACE(A1166,""^Trường\s*"","""")"),"THCS Yên Lạc")</f>
        <v>THCS Yên Lạc</v>
      </c>
    </row>
    <row r="1167">
      <c r="A1167" s="1" t="s">
        <v>2549</v>
      </c>
      <c r="B1167" s="2" t="s">
        <v>2550</v>
      </c>
      <c r="C1167" s="2" t="s">
        <v>998</v>
      </c>
      <c r="E1167" s="2" t="str">
        <f>IFERROR(__xludf.DUMMYFUNCTION("REGEXREPLACE(A1167,""^Trường\s*"","""")"),"THCS Xuân Khang")</f>
        <v>THCS Xuân Khang</v>
      </c>
    </row>
    <row r="1168">
      <c r="A1168" s="1" t="s">
        <v>2554</v>
      </c>
      <c r="B1168" s="2" t="s">
        <v>2555</v>
      </c>
      <c r="C1168" s="2" t="s">
        <v>2547</v>
      </c>
      <c r="E1168" s="2" t="str">
        <f>IFERROR(__xludf.DUMMYFUNCTION("REGEXREPLACE(A1168,""^Trường\s*"","""")"),"THCS Xuân Phúc")</f>
        <v>THCS Xuân Phúc</v>
      </c>
    </row>
    <row r="1169">
      <c r="A1169" s="1" t="s">
        <v>2559</v>
      </c>
      <c r="B1169" s="2" t="s">
        <v>2561</v>
      </c>
      <c r="C1169" s="2" t="s">
        <v>1116</v>
      </c>
      <c r="E1169" s="2" t="str">
        <f>IFERROR(__xludf.DUMMYFUNCTION("REGEXREPLACE(A1169,""^Trường\s*"","""")"),"PTDTBT THCS Thanh Tân")</f>
        <v>PTDTBT THCS Thanh Tân</v>
      </c>
    </row>
    <row r="1170">
      <c r="A1170" s="1" t="s">
        <v>2564</v>
      </c>
      <c r="B1170" s="2" t="s">
        <v>2565</v>
      </c>
      <c r="C1170" s="2" t="s">
        <v>1116</v>
      </c>
      <c r="E1170" s="2" t="str">
        <f>IFERROR(__xludf.DUMMYFUNCTION("REGEXREPLACE(A1170,""^Trường\s*"","""")"),"THCS Thanh Kỳ")</f>
        <v>THCS Thanh Kỳ</v>
      </c>
    </row>
    <row r="1171">
      <c r="A1171" s="1" t="s">
        <v>2568</v>
      </c>
      <c r="B1171" s="2" t="s">
        <v>2569</v>
      </c>
      <c r="C1171" s="2" t="s">
        <v>2571</v>
      </c>
      <c r="E1171" s="2" t="str">
        <f>IFERROR(__xludf.DUMMYFUNCTION("REGEXREPLACE(A1171,""^Trường\s*"","""")"),"THCS Xuân Thái")</f>
        <v>THCS Xuân Thái</v>
      </c>
    </row>
    <row r="1172">
      <c r="A1172" s="1" t="s">
        <v>2573</v>
      </c>
      <c r="B1172" s="2" t="s">
        <v>2574</v>
      </c>
      <c r="C1172" s="2" t="s">
        <v>63</v>
      </c>
      <c r="E1172" s="2" t="str">
        <f>IFERROR(__xludf.DUMMYFUNCTION("REGEXREPLACE(A1172,""^Trường\s*"","""")"),"THCS Xuân Du")</f>
        <v>THCS Xuân Du</v>
      </c>
    </row>
    <row r="1173">
      <c r="A1173" s="1" t="s">
        <v>2577</v>
      </c>
      <c r="B1173" s="2" t="s">
        <v>2579</v>
      </c>
      <c r="C1173" s="2" t="s">
        <v>63</v>
      </c>
      <c r="E1173" s="2" t="str">
        <f>IFERROR(__xludf.DUMMYFUNCTION("REGEXREPLACE(A1173,""^Trường\s*"","""")"),"THCS Cán Khê")</f>
        <v>THCS Cán Khê</v>
      </c>
    </row>
    <row r="1174">
      <c r="A1174" s="1" t="s">
        <v>2582</v>
      </c>
      <c r="B1174" s="2" t="s">
        <v>2584</v>
      </c>
      <c r="C1174" s="2" t="s">
        <v>1545</v>
      </c>
      <c r="E1174" s="2" t="str">
        <f>IFERROR(__xludf.DUMMYFUNCTION("REGEXREPLACE(A1174,""^Trường\s*"","""")"),"THCS Mậu Lâm")</f>
        <v>THCS Mậu Lâm</v>
      </c>
    </row>
    <row r="1175">
      <c r="A1175" s="1" t="s">
        <v>2586</v>
      </c>
      <c r="B1175" s="2" t="s">
        <v>2588</v>
      </c>
      <c r="C1175" s="2" t="s">
        <v>998</v>
      </c>
      <c r="E1175" s="2" t="str">
        <f>IFERROR(__xludf.DUMMYFUNCTION("REGEXREPLACE(A1175,""^Trường\s*"","""")"),"THCS Bến Sung")</f>
        <v>THCS Bến Sung</v>
      </c>
    </row>
    <row r="1176">
      <c r="A1176" s="1" t="s">
        <v>1500</v>
      </c>
      <c r="B1176" s="2" t="s">
        <v>2591</v>
      </c>
      <c r="C1176" s="2" t="s">
        <v>2547</v>
      </c>
      <c r="E1176" s="2" t="str">
        <f>IFERROR(__xludf.DUMMYFUNCTION("REGEXREPLACE(A1176,""^Trường\s*"","""")"),"THCS Yên Thọ")</f>
        <v>THCS Yên Thọ</v>
      </c>
    </row>
    <row r="1177">
      <c r="A1177" s="1" t="s">
        <v>2594</v>
      </c>
      <c r="B1177" s="2" t="s">
        <v>2595</v>
      </c>
      <c r="C1177" s="2" t="s">
        <v>1545</v>
      </c>
      <c r="E1177" s="2" t="str">
        <f>IFERROR(__xludf.DUMMYFUNCTION("REGEXREPLACE(A1177,""^Trường\s*"","""")"),"THCS Phú Nhuận")</f>
        <v>THCS Phú Nhuận</v>
      </c>
    </row>
    <row r="1178">
      <c r="A1178" s="1" t="s">
        <v>2598</v>
      </c>
      <c r="B1178" s="2" t="s">
        <v>2599</v>
      </c>
      <c r="C1178" s="2" t="s">
        <v>998</v>
      </c>
      <c r="E1178" s="2" t="str">
        <f>IFERROR(__xludf.DUMMYFUNCTION("REGEXREPLACE(A1178,""^Trường\s*"","""")"),"THCS Hải Long")</f>
        <v>THCS Hải Long</v>
      </c>
    </row>
    <row r="1179">
      <c r="A1179" s="1" t="s">
        <v>2602</v>
      </c>
      <c r="B1179" s="2" t="s">
        <v>2604</v>
      </c>
      <c r="C1179" s="2" t="s">
        <v>998</v>
      </c>
      <c r="E1179" s="2" t="str">
        <f>IFERROR(__xludf.DUMMYFUNCTION("REGEXREPLACE(A1179,""^Trường\s*"","""")"),"PTDTNT THCS Như Thanh")</f>
        <v>PTDTNT THCS Như Thanh</v>
      </c>
    </row>
    <row r="1180">
      <c r="A1180" s="11" t="s">
        <v>2607</v>
      </c>
      <c r="B1180" s="2" t="s">
        <v>2609</v>
      </c>
      <c r="C1180" s="2" t="s">
        <v>1384</v>
      </c>
      <c r="E1180" s="2" t="str">
        <f>IFERROR(__xludf.DUMMYFUNCTION("REGEXREPLACE(A1180,""^Trường\s*"","""")"),"THCS Tân Thọ")</f>
        <v>THCS Tân Thọ</v>
      </c>
    </row>
    <row r="1181">
      <c r="A1181" s="1" t="s">
        <v>2612</v>
      </c>
      <c r="B1181" s="2" t="s">
        <v>2613</v>
      </c>
      <c r="C1181" s="2" t="s">
        <v>1384</v>
      </c>
      <c r="E1181" s="2" t="str">
        <f>IFERROR(__xludf.DUMMYFUNCTION("REGEXREPLACE(A1181,""^Trường\s*"","""")"),"THCS Tân Khang")</f>
        <v>THCS Tân Khang</v>
      </c>
    </row>
    <row r="1182">
      <c r="A1182" s="1" t="s">
        <v>730</v>
      </c>
      <c r="B1182" s="2" t="s">
        <v>2617</v>
      </c>
      <c r="C1182" s="2" t="s">
        <v>1384</v>
      </c>
      <c r="E1182" s="2" t="str">
        <f>IFERROR(__xludf.DUMMYFUNCTION("REGEXREPLACE(A1182,""^Trường\s*"","""")"),"THCS Tân Phúc")</f>
        <v>THCS Tân Phúc</v>
      </c>
    </row>
    <row r="1183">
      <c r="A1183" s="1" t="s">
        <v>424</v>
      </c>
      <c r="B1183" s="2" t="s">
        <v>2620</v>
      </c>
      <c r="C1183" s="2" t="s">
        <v>1107</v>
      </c>
      <c r="E1183" s="2" t="str">
        <f>IFERROR(__xludf.DUMMYFUNCTION("REGEXREPLACE(A1183,""^Trường\s*"","""")"),"THCS Trung Thành")</f>
        <v>THCS Trung Thành</v>
      </c>
    </row>
    <row r="1184">
      <c r="A1184" s="1" t="s">
        <v>2623</v>
      </c>
      <c r="B1184" s="2" t="s">
        <v>2625</v>
      </c>
      <c r="C1184" s="2" t="s">
        <v>679</v>
      </c>
      <c r="E1184" s="2" t="str">
        <f>IFERROR(__xludf.DUMMYFUNCTION("REGEXREPLACE(A1184,""^Trường\s*"","""")"),"THCS Công Chính")</f>
        <v>THCS Công Chính</v>
      </c>
    </row>
    <row r="1185">
      <c r="A1185" s="1" t="s">
        <v>2628</v>
      </c>
      <c r="B1185" s="2" t="s">
        <v>2629</v>
      </c>
      <c r="C1185" s="2" t="s">
        <v>1384</v>
      </c>
      <c r="E1185" s="2" t="str">
        <f>IFERROR(__xludf.DUMMYFUNCTION("REGEXREPLACE(A1185,""^Trường\s*"","""")"),"THCS Trung Chính")</f>
        <v>THCS Trung Chính</v>
      </c>
    </row>
    <row r="1186">
      <c r="A1186" s="1" t="s">
        <v>2632</v>
      </c>
      <c r="B1186" s="2" t="s">
        <v>2633</v>
      </c>
      <c r="C1186" s="2" t="s">
        <v>1384</v>
      </c>
      <c r="E1186" s="2" t="str">
        <f>IFERROR(__xludf.DUMMYFUNCTION("REGEXREPLACE(A1186,""^Trường\s*"","""")"),"THCS Hoàng Giang")</f>
        <v>THCS Hoàng Giang</v>
      </c>
    </row>
    <row r="1187">
      <c r="A1187" s="1" t="s">
        <v>2636</v>
      </c>
      <c r="B1187" s="2" t="s">
        <v>2638</v>
      </c>
      <c r="C1187" s="2" t="s">
        <v>1384</v>
      </c>
      <c r="E1187" s="2" t="str">
        <f>IFERROR(__xludf.DUMMYFUNCTION("REGEXREPLACE(A1187,""^Trường\s*"","""")"),"THCS Hoàng Sơn")</f>
        <v>THCS Hoàng Sơn</v>
      </c>
    </row>
    <row r="1188">
      <c r="A1188" s="1" t="s">
        <v>2640</v>
      </c>
      <c r="B1188" s="2" t="s">
        <v>2641</v>
      </c>
      <c r="C1188" s="2" t="s">
        <v>1107</v>
      </c>
      <c r="E1188" s="2" t="str">
        <f>IFERROR(__xludf.DUMMYFUNCTION("REGEXREPLACE(A1188,""^Trường\s*"","""")"),"THCS Tế Thắng")</f>
        <v>THCS Tế Thắng</v>
      </c>
    </row>
    <row r="1189">
      <c r="A1189" s="1" t="s">
        <v>2644</v>
      </c>
      <c r="B1189" s="2" t="s">
        <v>2645</v>
      </c>
      <c r="C1189" s="2" t="s">
        <v>1107</v>
      </c>
      <c r="E1189" s="2" t="str">
        <f>IFERROR(__xludf.DUMMYFUNCTION("REGEXREPLACE(A1189,""^Trường\s*"","""")"),"THCS Tế Lợi")</f>
        <v>THCS Tế Lợi</v>
      </c>
    </row>
    <row r="1190">
      <c r="A1190" s="1" t="s">
        <v>2649</v>
      </c>
      <c r="B1190" s="2" t="s">
        <v>2651</v>
      </c>
      <c r="C1190" s="2" t="s">
        <v>1107</v>
      </c>
      <c r="E1190" s="2" t="str">
        <f>IFERROR(__xludf.DUMMYFUNCTION("REGEXREPLACE(A1190,""^Trường\s*"","""")"),"THCS Tế Nông")</f>
        <v>THCS Tế Nông</v>
      </c>
    </row>
    <row r="1191">
      <c r="A1191" s="1" t="s">
        <v>2654</v>
      </c>
      <c r="B1191" s="2" t="s">
        <v>2655</v>
      </c>
      <c r="C1191" s="2" t="s">
        <v>1025</v>
      </c>
      <c r="E1191" s="2" t="str">
        <f>IFERROR(__xludf.DUMMYFUNCTION("REGEXREPLACE(A1191,""^Trường\s*"","""")"),"THCS Minh Thọ")</f>
        <v>THCS Minh Thọ</v>
      </c>
    </row>
    <row r="1192">
      <c r="A1192" s="1" t="s">
        <v>2659</v>
      </c>
      <c r="B1192" s="2" t="s">
        <v>2661</v>
      </c>
      <c r="C1192" s="2" t="s">
        <v>1025</v>
      </c>
      <c r="E1192" s="2" t="str">
        <f>IFERROR(__xludf.DUMMYFUNCTION("REGEXREPLACE(A1192,""^Trường\s*"","""")"),"THCS Minh Khôi")</f>
        <v>THCS Minh Khôi</v>
      </c>
    </row>
    <row r="1193">
      <c r="A1193" s="1" t="s">
        <v>2664</v>
      </c>
      <c r="B1193" s="2" t="s">
        <v>2665</v>
      </c>
      <c r="C1193" s="2" t="s">
        <v>1025</v>
      </c>
      <c r="E1193" s="2" t="str">
        <f>IFERROR(__xludf.DUMMYFUNCTION("REGEXREPLACE(A1193,""^Trường\s*"","""")"),"THCS Minh Nghĩa")</f>
        <v>THCS Minh Nghĩa</v>
      </c>
    </row>
    <row r="1194">
      <c r="A1194" s="1" t="s">
        <v>2666</v>
      </c>
      <c r="B1194" s="2" t="s">
        <v>2667</v>
      </c>
      <c r="C1194" s="2" t="s">
        <v>1025</v>
      </c>
      <c r="E1194" s="2" t="str">
        <f>IFERROR(__xludf.DUMMYFUNCTION("REGEXREPLACE(A1194,""^Trường\s*"","""")"),"THCS Vạn Hòa")</f>
        <v>THCS Vạn Hòa</v>
      </c>
    </row>
    <row r="1195">
      <c r="A1195" s="1" t="s">
        <v>2668</v>
      </c>
      <c r="B1195" s="2" t="s">
        <v>2669</v>
      </c>
      <c r="C1195" s="2" t="s">
        <v>1025</v>
      </c>
      <c r="E1195" s="2" t="str">
        <f>IFERROR(__xludf.DUMMYFUNCTION("REGEXREPLACE(A1195,""^Trường\s*"","""")"),"THCS Vạn Thắng")</f>
        <v>THCS Vạn Thắng</v>
      </c>
    </row>
    <row r="1196">
      <c r="A1196" s="1" t="s">
        <v>2670</v>
      </c>
      <c r="B1196" s="2" t="s">
        <v>2672</v>
      </c>
      <c r="C1196" s="2" t="s">
        <v>1025</v>
      </c>
      <c r="E1196" s="2" t="str">
        <f>IFERROR(__xludf.DUMMYFUNCTION("REGEXREPLACE(A1196,""^Trường\s*"","""")"),"THCS Vạn Thiện")</f>
        <v>THCS Vạn Thiện</v>
      </c>
    </row>
    <row r="1197">
      <c r="A1197" s="1" t="s">
        <v>2675</v>
      </c>
      <c r="B1197" s="2" t="s">
        <v>2677</v>
      </c>
      <c r="C1197" s="2" t="s">
        <v>1392</v>
      </c>
      <c r="E1197" s="2" t="str">
        <f>IFERROR(__xludf.DUMMYFUNCTION("REGEXREPLACE(A1197,""^Trường\s*"","""")"),"THCS Trường Minh")</f>
        <v>THCS Trường Minh</v>
      </c>
    </row>
    <row r="1198">
      <c r="A1198" s="1" t="s">
        <v>2680</v>
      </c>
      <c r="B1198" s="2" t="s">
        <v>2682</v>
      </c>
      <c r="C1198" s="2" t="s">
        <v>1392</v>
      </c>
      <c r="E1198" s="2" t="str">
        <f>IFERROR(__xludf.DUMMYFUNCTION("REGEXREPLACE(A1198,""^Trường\s*"","""")"),"THCS Trường Trung")</f>
        <v>THCS Trường Trung</v>
      </c>
    </row>
    <row r="1199">
      <c r="A1199" s="1" t="s">
        <v>2685</v>
      </c>
      <c r="B1199" s="2" t="s">
        <v>2687</v>
      </c>
      <c r="C1199" s="2" t="s">
        <v>1392</v>
      </c>
      <c r="E1199" s="2" t="str">
        <f>IFERROR(__xludf.DUMMYFUNCTION("REGEXREPLACE(A1199,""^Trường\s*"","""")"),"THCS Trường Giang")</f>
        <v>THCS Trường Giang</v>
      </c>
    </row>
    <row r="1200">
      <c r="A1200" s="1" t="s">
        <v>2690</v>
      </c>
      <c r="B1200" s="2" t="s">
        <v>2691</v>
      </c>
      <c r="C1200" s="2" t="s">
        <v>2580</v>
      </c>
      <c r="E1200" s="2" t="str">
        <f>IFERROR(__xludf.DUMMYFUNCTION("REGEXREPLACE(A1200,""^Trường\s*"","""")"),"THCS Tượng Văn")</f>
        <v>THCS Tượng Văn</v>
      </c>
    </row>
    <row r="1201">
      <c r="A1201" s="1" t="s">
        <v>2694</v>
      </c>
      <c r="B1201" s="2" t="s">
        <v>2696</v>
      </c>
      <c r="C1201" s="2" t="s">
        <v>2580</v>
      </c>
      <c r="E1201" s="2" t="str">
        <f>IFERROR(__xludf.DUMMYFUNCTION("REGEXREPLACE(A1201,""^Trường\s*"","""")"),"THCS Tượng Lĩnh")</f>
        <v>THCS Tượng Lĩnh</v>
      </c>
    </row>
    <row r="1202">
      <c r="A1202" s="1" t="s">
        <v>2700</v>
      </c>
      <c r="B1202" s="2" t="s">
        <v>2701</v>
      </c>
      <c r="C1202" s="2" t="s">
        <v>2580</v>
      </c>
      <c r="E1202" s="2" t="str">
        <f>IFERROR(__xludf.DUMMYFUNCTION("REGEXREPLACE(A1202,""^Trường\s*"","""")"),"THCS Tượng Sơn")</f>
        <v>THCS Tượng Sơn</v>
      </c>
    </row>
    <row r="1203">
      <c r="A1203" s="1" t="s">
        <v>2704</v>
      </c>
      <c r="B1203" s="2" t="s">
        <v>2705</v>
      </c>
      <c r="C1203" s="2" t="s">
        <v>2086</v>
      </c>
      <c r="E1203" s="2" t="str">
        <f>IFERROR(__xludf.DUMMYFUNCTION("REGEXREPLACE(A1203,""^Trường\s*"","""")"),"THCS Thăng Bình")</f>
        <v>THCS Thăng Bình</v>
      </c>
    </row>
    <row r="1204">
      <c r="A1204" s="1" t="s">
        <v>2711</v>
      </c>
      <c r="B1204" s="2" t="s">
        <v>2713</v>
      </c>
      <c r="C1204" s="2" t="s">
        <v>2086</v>
      </c>
      <c r="E1204" s="2" t="str">
        <f>IFERROR(__xludf.DUMMYFUNCTION("REGEXREPLACE(A1204,""^Trường\s*"","""")"),"THCS Thăng Thọ")</f>
        <v>THCS Thăng Thọ</v>
      </c>
    </row>
    <row r="1205">
      <c r="A1205" s="1" t="s">
        <v>2716</v>
      </c>
      <c r="B1205" s="2" t="s">
        <v>2718</v>
      </c>
      <c r="C1205" s="2" t="s">
        <v>2086</v>
      </c>
      <c r="E1205" s="2" t="str">
        <f>IFERROR(__xludf.DUMMYFUNCTION("REGEXREPLACE(A1205,""^Trường\s*"","""")"),"THCS Thăng Long")</f>
        <v>THCS Thăng Long</v>
      </c>
    </row>
    <row r="1206">
      <c r="A1206" s="1" t="s">
        <v>2721</v>
      </c>
      <c r="B1206" s="2" t="s">
        <v>2722</v>
      </c>
      <c r="C1206" s="2" t="s">
        <v>679</v>
      </c>
      <c r="E1206" s="2" t="str">
        <f>IFERROR(__xludf.DUMMYFUNCTION("REGEXREPLACE(A1206,""^Trường\s*"","""")"),"THCS Yên Mỹ")</f>
        <v>THCS Yên Mỹ</v>
      </c>
    </row>
    <row r="1207">
      <c r="A1207" s="1" t="s">
        <v>170</v>
      </c>
      <c r="B1207" s="2" t="s">
        <v>2728</v>
      </c>
      <c r="C1207" s="2" t="s">
        <v>1025</v>
      </c>
      <c r="E1207" s="2" t="str">
        <f>IFERROR(__xludf.DUMMYFUNCTION("REGEXREPLACE(A1207,""^Trường\s*"","""")"),"THCS Trần Phú")</f>
        <v>THCS Trần Phú</v>
      </c>
    </row>
    <row r="1208">
      <c r="A1208" s="1" t="s">
        <v>235</v>
      </c>
      <c r="B1208" s="2" t="s">
        <v>2731</v>
      </c>
      <c r="C1208" s="2" t="s">
        <v>1392</v>
      </c>
      <c r="E1208" s="2" t="str">
        <f>IFERROR(__xludf.DUMMYFUNCTION("REGEXREPLACE(A1208,""^Trường\s*"","""")"),"THCS Trường Sơn")</f>
        <v>THCS Trường Sơn</v>
      </c>
    </row>
    <row r="1209">
      <c r="A1209" s="1" t="s">
        <v>2733</v>
      </c>
      <c r="B1209" s="2" t="s">
        <v>2734</v>
      </c>
      <c r="C1209" s="2" t="s">
        <v>679</v>
      </c>
      <c r="E1209" s="2" t="str">
        <f>IFERROR(__xludf.DUMMYFUNCTION("REGEXREPLACE(A1209,""^Trường\s*"","""")"),"THCS Công Liêm")</f>
        <v>THCS Công Liêm</v>
      </c>
    </row>
    <row r="1210">
      <c r="A1210" s="1" t="s">
        <v>156</v>
      </c>
      <c r="B1210" s="2" t="s">
        <v>157</v>
      </c>
      <c r="C1210" s="2" t="s">
        <v>135</v>
      </c>
      <c r="E1210" s="2" t="str">
        <f>IFERROR(__xludf.DUMMYFUNCTION("REGEXREPLACE(A1210,""^Trường\s*"","""")"),"TH&amp;THCS Đông Thanh")</f>
        <v>TH&amp;THCS Đông Thanh</v>
      </c>
    </row>
    <row r="1211">
      <c r="A1211" s="1" t="s">
        <v>90</v>
      </c>
      <c r="B1211" s="2" t="s">
        <v>91</v>
      </c>
      <c r="C1211" s="2" t="s">
        <v>73</v>
      </c>
      <c r="E1211" s="2" t="str">
        <f>IFERROR(__xludf.DUMMYFUNCTION("REGEXREPLACE(A1211,""^Trường\s*"","""")"),"TH&amp;THCS Đông Vinh")</f>
        <v>TH&amp;THCS Đông Vinh</v>
      </c>
    </row>
    <row r="1212">
      <c r="A1212" s="1" t="s">
        <v>2741</v>
      </c>
      <c r="B1212" s="2" t="s">
        <v>2743</v>
      </c>
      <c r="C1212" s="2" t="s">
        <v>17</v>
      </c>
      <c r="E1212" s="2" t="str">
        <f>IFERROR(__xludf.DUMMYFUNCTION("REGEXREPLACE(A1212,""^Trường\s*"","""")"),"THCS Đông Tân")</f>
        <v>THCS Đông Tân</v>
      </c>
    </row>
    <row r="1213">
      <c r="A1213" s="1" t="s">
        <v>112</v>
      </c>
      <c r="B1213" s="2" t="s">
        <v>114</v>
      </c>
      <c r="C1213" s="2" t="s">
        <v>17</v>
      </c>
      <c r="E1213" s="2" t="str">
        <f>IFERROR(__xludf.DUMMYFUNCTION("REGEXREPLACE(A1213,""^Trường\s*"","""")"),"TH&amp;THCS Đông Minh")</f>
        <v>TH&amp;THCS Đông Minh</v>
      </c>
    </row>
    <row r="1214">
      <c r="A1214" s="1" t="s">
        <v>116</v>
      </c>
      <c r="B1214" s="2" t="s">
        <v>117</v>
      </c>
      <c r="C1214" s="2" t="s">
        <v>17</v>
      </c>
      <c r="E1214" s="2" t="str">
        <f>IFERROR(__xludf.DUMMYFUNCTION("REGEXREPLACE(A1214,""^Trường\s*"","""")"),"TH&amp;THCS Đông Hoàng")</f>
        <v>TH&amp;THCS Đông Hoàng</v>
      </c>
    </row>
    <row r="1215">
      <c r="A1215" s="1" t="s">
        <v>2750</v>
      </c>
      <c r="B1215" s="2" t="s">
        <v>2752</v>
      </c>
      <c r="C1215" s="2" t="s">
        <v>135</v>
      </c>
      <c r="E1215" s="2" t="str">
        <f>IFERROR(__xludf.DUMMYFUNCTION("REGEXREPLACE(A1215,""^Trường\s*"","""")"),"THCS Đông Tiến")</f>
        <v>THCS Đông Tiến</v>
      </c>
    </row>
    <row r="1216">
      <c r="A1216" s="1" t="s">
        <v>93</v>
      </c>
      <c r="B1216" s="2" t="s">
        <v>95</v>
      </c>
      <c r="C1216" s="2" t="s">
        <v>73</v>
      </c>
      <c r="E1216" s="2" t="str">
        <f>IFERROR(__xludf.DUMMYFUNCTION("REGEXREPLACE(A1216,""^Trường\s*"","""")"),"TH&amp;THCS Đông Nam")</f>
        <v>TH&amp;THCS Đông Nam</v>
      </c>
    </row>
    <row r="1217">
      <c r="A1217" s="1" t="s">
        <v>119</v>
      </c>
      <c r="B1217" s="2" t="s">
        <v>121</v>
      </c>
      <c r="C1217" s="2" t="s">
        <v>17</v>
      </c>
      <c r="E1217" s="2" t="str">
        <f>IFERROR(__xludf.DUMMYFUNCTION("REGEXREPLACE(A1217,""^Trường\s*"","""")"),"TH&amp;THCS Đông Khê")</f>
        <v>TH&amp;THCS Đông Khê</v>
      </c>
    </row>
    <row r="1218">
      <c r="A1218" s="1" t="s">
        <v>2761</v>
      </c>
      <c r="B1218" s="2" t="s">
        <v>2763</v>
      </c>
      <c r="C1218" s="2" t="s">
        <v>17</v>
      </c>
      <c r="E1218" s="2" t="str">
        <f>IFERROR(__xludf.DUMMYFUNCTION("REGEXREPLACE(A1218,""^Trường\s*"","""")"),"THCS Nguyễn Chích")</f>
        <v>THCS Nguyễn Chích</v>
      </c>
    </row>
    <row r="1219">
      <c r="A1219" s="1" t="s">
        <v>2766</v>
      </c>
      <c r="B1219" s="2" t="s">
        <v>2768</v>
      </c>
      <c r="C1219" s="2" t="s">
        <v>135</v>
      </c>
      <c r="E1219" s="2" t="str">
        <f>IFERROR(__xludf.DUMMYFUNCTION("REGEXREPLACE(A1219,""^Trường\s*"","""")"),"THCS Đông Lĩnh")</f>
        <v>THCS Đông Lĩnh</v>
      </c>
    </row>
    <row r="1220">
      <c r="A1220" s="1" t="s">
        <v>2770</v>
      </c>
      <c r="B1220" s="2" t="s">
        <v>2771</v>
      </c>
      <c r="C1220" s="2" t="s">
        <v>73</v>
      </c>
      <c r="E1220" s="2" t="str">
        <f>IFERROR(__xludf.DUMMYFUNCTION("REGEXREPLACE(A1220,""^Trường\s*"","""")"),"THCS An Hoạch")</f>
        <v>THCS An Hoạch</v>
      </c>
    </row>
    <row r="1221">
      <c r="A1221" s="1" t="s">
        <v>122</v>
      </c>
      <c r="B1221" s="2" t="s">
        <v>123</v>
      </c>
      <c r="C1221" s="2" t="s">
        <v>17</v>
      </c>
      <c r="E1221" s="2" t="str">
        <f>IFERROR(__xludf.DUMMYFUNCTION("REGEXREPLACE(A1221,""^Trường\s*"","""")"),"TH&amp;THCS Đông Thịnh")</f>
        <v>TH&amp;THCS Đông Thịnh</v>
      </c>
    </row>
    <row r="1222">
      <c r="A1222" s="1" t="s">
        <v>127</v>
      </c>
      <c r="B1222" s="2" t="s">
        <v>128</v>
      </c>
      <c r="C1222" s="2" t="s">
        <v>17</v>
      </c>
      <c r="E1222" s="2" t="str">
        <f>IFERROR(__xludf.DUMMYFUNCTION("REGEXREPLACE(A1222,""^Trường\s*"","""")"),"TH&amp;THCS Đông Anh")</f>
        <v>TH&amp;THCS Đông Anh</v>
      </c>
    </row>
    <row r="1223">
      <c r="A1223" s="1" t="s">
        <v>2780</v>
      </c>
      <c r="B1223" s="2" t="s">
        <v>2782</v>
      </c>
      <c r="C1223" s="2" t="s">
        <v>17</v>
      </c>
      <c r="E1223" s="2" t="str">
        <f>IFERROR(__xludf.DUMMYFUNCTION("REGEXREPLACE(A1223,""^Trường\s*"","""")"),"THCS Đông Ninh")</f>
        <v>THCS Đông Ninh</v>
      </c>
    </row>
    <row r="1224">
      <c r="A1224" s="1" t="s">
        <v>2785</v>
      </c>
      <c r="B1224" s="2" t="s">
        <v>2786</v>
      </c>
      <c r="C1224" s="2" t="s">
        <v>73</v>
      </c>
      <c r="E1224" s="2" t="str">
        <f>IFERROR(__xludf.DUMMYFUNCTION("REGEXREPLACE(A1224,""^Trường\s*"","""")"),"THCS Đông Quang")</f>
        <v>THCS Đông Quang</v>
      </c>
    </row>
    <row r="1225">
      <c r="A1225" s="1" t="s">
        <v>129</v>
      </c>
      <c r="B1225" s="2" t="s">
        <v>130</v>
      </c>
      <c r="C1225" s="2" t="s">
        <v>17</v>
      </c>
      <c r="E1225" s="2" t="str">
        <f>IFERROR(__xludf.DUMMYFUNCTION("REGEXREPLACE(A1225,""^Trường\s*"","""")"),"TH&amp;THCS Đông Hòa")</f>
        <v>TH&amp;THCS Đông Hòa</v>
      </c>
    </row>
    <row r="1226">
      <c r="A1226" s="1" t="s">
        <v>96</v>
      </c>
      <c r="B1226" s="2" t="s">
        <v>98</v>
      </c>
      <c r="C1226" s="2" t="s">
        <v>73</v>
      </c>
      <c r="E1226" s="2" t="str">
        <f>IFERROR(__xludf.DUMMYFUNCTION("REGEXREPLACE(A1226,""^Trường\s*"","""")"),"TH&amp;THCS Đông Yên")</f>
        <v>TH&amp;THCS Đông Yên</v>
      </c>
    </row>
    <row r="1227">
      <c r="A1227" s="1" t="s">
        <v>2796</v>
      </c>
      <c r="B1227" s="2" t="s">
        <v>2797</v>
      </c>
      <c r="C1227" s="2" t="s">
        <v>73</v>
      </c>
      <c r="E1227" s="2" t="str">
        <f>IFERROR(__xludf.DUMMYFUNCTION("REGEXREPLACE(A1227,""^Trường\s*"","""")"),"THCS Đông Văn")</f>
        <v>THCS Đông Văn</v>
      </c>
    </row>
    <row r="1228">
      <c r="A1228" s="1" t="s">
        <v>101</v>
      </c>
      <c r="B1228" s="2" t="s">
        <v>102</v>
      </c>
      <c r="C1228" s="2" t="s">
        <v>73</v>
      </c>
      <c r="E1228" s="2" t="str">
        <f>IFERROR(__xludf.DUMMYFUNCTION("REGEXREPLACE(A1228,""^Trường\s*"","""")"),"TH&amp;THCS Đông Phú")</f>
        <v>TH&amp;THCS Đông Phú</v>
      </c>
    </row>
    <row r="1229">
      <c r="A1229" s="1" t="s">
        <v>2804</v>
      </c>
      <c r="B1229" s="2" t="s">
        <v>2806</v>
      </c>
      <c r="C1229" s="2" t="s">
        <v>238</v>
      </c>
      <c r="E1229" s="2" t="str">
        <f>IFERROR(__xludf.DUMMYFUNCTION("REGEXREPLACE(A1229,""^Trường\s*"","""")"),"THCS Quảng Châu")</f>
        <v>THCS Quảng Châu</v>
      </c>
    </row>
    <row r="1230">
      <c r="A1230" s="1" t="s">
        <v>2808</v>
      </c>
      <c r="B1230" s="2" t="s">
        <v>2809</v>
      </c>
      <c r="C1230" s="2" t="s">
        <v>238</v>
      </c>
      <c r="E1230" s="2" t="str">
        <f>IFERROR(__xludf.DUMMYFUNCTION("REGEXREPLACE(A1230,""^Trường\s*"","""")"),"THCS Quảng Thọ")</f>
        <v>THCS Quảng Thọ</v>
      </c>
    </row>
    <row r="1231">
      <c r="A1231" s="1" t="s">
        <v>2810</v>
      </c>
      <c r="B1231" s="2" t="s">
        <v>2811</v>
      </c>
      <c r="C1231" s="2" t="s">
        <v>283</v>
      </c>
      <c r="E1231" s="2" t="str">
        <f>IFERROR(__xludf.DUMMYFUNCTION("REGEXREPLACE(A1231,""^Trường\s*"","""")"),"THCS Quảng Vinh")</f>
        <v>THCS Quảng Vinh</v>
      </c>
    </row>
    <row r="1232">
      <c r="A1232" s="1" t="s">
        <v>1736</v>
      </c>
      <c r="B1232" s="2" t="s">
        <v>2813</v>
      </c>
      <c r="C1232" s="2" t="s">
        <v>24</v>
      </c>
      <c r="E1232" s="2" t="str">
        <f>IFERROR(__xludf.DUMMYFUNCTION("REGEXREPLACE(A1232,""^Trường\s*"","""")"),"THCS Quảng Phú")</f>
        <v>THCS Quảng Phú</v>
      </c>
    </row>
    <row r="1233">
      <c r="A1233" s="1" t="s">
        <v>2814</v>
      </c>
      <c r="B1233" s="2" t="s">
        <v>2815</v>
      </c>
      <c r="C1233" s="2" t="s">
        <v>24</v>
      </c>
      <c r="E1233" s="2" t="str">
        <f>IFERROR(__xludf.DUMMYFUNCTION("REGEXREPLACE(A1233,""^Trường\s*"","""")"),"THCS Quảng Tâm")</f>
        <v>THCS Quảng Tâm</v>
      </c>
    </row>
    <row r="1234">
      <c r="A1234" s="1" t="s">
        <v>2817</v>
      </c>
      <c r="B1234" s="2" t="s">
        <v>2818</v>
      </c>
      <c r="C1234" s="2" t="s">
        <v>24</v>
      </c>
      <c r="E1234" s="2" t="str">
        <f>IFERROR(__xludf.DUMMYFUNCTION("REGEXREPLACE(A1234,""^Trường\s*"","""")"),"THCS Quảng Cát")</f>
        <v>THCS Quảng Cát</v>
      </c>
    </row>
    <row r="1235">
      <c r="A1235" s="1" t="s">
        <v>2819</v>
      </c>
      <c r="B1235" s="2" t="s">
        <v>2820</v>
      </c>
      <c r="C1235" s="2" t="s">
        <v>283</v>
      </c>
      <c r="E1235" s="2" t="str">
        <f>IFERROR(__xludf.DUMMYFUNCTION("REGEXREPLACE(A1235,""^Trường\s*"","""")"),"THCS Quảng Minh")</f>
        <v>THCS Quảng Minh</v>
      </c>
    </row>
    <row r="1236">
      <c r="A1236" s="1" t="s">
        <v>2821</v>
      </c>
      <c r="B1236" s="2" t="s">
        <v>2823</v>
      </c>
      <c r="C1236" s="2" t="s">
        <v>283</v>
      </c>
      <c r="E1236" s="2" t="str">
        <f>IFERROR(__xludf.DUMMYFUNCTION("REGEXREPLACE(A1236,""^Trường\s*"","""")"),"THCS Quảng Hùng")</f>
        <v>THCS Quảng Hùng</v>
      </c>
    </row>
    <row r="1237">
      <c r="A1237" s="1" t="s">
        <v>297</v>
      </c>
      <c r="B1237" s="2" t="s">
        <v>298</v>
      </c>
      <c r="C1237" s="2" t="s">
        <v>283</v>
      </c>
      <c r="E1237" s="2" t="str">
        <f>IFERROR(__xludf.DUMMYFUNCTION("REGEXREPLACE(A1237,""^Trường\s*"","""")"),"TH&amp;THCS Nguyễn Xuân Nguyên")</f>
        <v>TH&amp;THCS Nguyễn Xuân Nguyên</v>
      </c>
    </row>
    <row r="1238">
      <c r="A1238" s="1" t="s">
        <v>2824</v>
      </c>
      <c r="B1238" s="2" t="s">
        <v>2825</v>
      </c>
      <c r="C1238" s="2" t="s">
        <v>1049</v>
      </c>
      <c r="E1238" s="2" t="str">
        <f>IFERROR(__xludf.DUMMYFUNCTION("REGEXREPLACE(A1238,""^Trường\s*"","""")"),"THCS Quảng Lưu")</f>
        <v>THCS Quảng Lưu</v>
      </c>
    </row>
    <row r="1239">
      <c r="A1239" s="1" t="s">
        <v>2827</v>
      </c>
      <c r="B1239" s="2" t="s">
        <v>2828</v>
      </c>
      <c r="C1239" s="2" t="s">
        <v>1049</v>
      </c>
      <c r="E1239" s="2" t="str">
        <f>IFERROR(__xludf.DUMMYFUNCTION("REGEXREPLACE(A1239,""^Trường\s*"","""")"),"THCS Quảng lộc")</f>
        <v>THCS Quảng lộc</v>
      </c>
    </row>
    <row r="1240">
      <c r="A1240" s="1" t="s">
        <v>2829</v>
      </c>
      <c r="B1240" s="2" t="s">
        <v>2830</v>
      </c>
      <c r="C1240" s="2" t="s">
        <v>283</v>
      </c>
      <c r="E1240" s="2" t="str">
        <f>IFERROR(__xludf.DUMMYFUNCTION("REGEXREPLACE(A1240,""^Trường\s*"","""")"),"THCS Quảng Đại")</f>
        <v>THCS Quảng Đại</v>
      </c>
    </row>
    <row r="1241">
      <c r="A1241" s="1" t="s">
        <v>2832</v>
      </c>
      <c r="B1241" s="2" t="s">
        <v>2833</v>
      </c>
      <c r="C1241" s="2" t="s">
        <v>1066</v>
      </c>
      <c r="E1241" s="2" t="str">
        <f>IFERROR(__xludf.DUMMYFUNCTION("REGEXREPLACE(A1241,""^Trường\s*"","""")"),"THCS Quảng Hải")</f>
        <v>THCS Quảng Hải</v>
      </c>
    </row>
    <row r="1242">
      <c r="A1242" s="1" t="s">
        <v>2834</v>
      </c>
      <c r="B1242" s="2" t="s">
        <v>2835</v>
      </c>
      <c r="C1242" s="2" t="s">
        <v>1066</v>
      </c>
      <c r="E1242" s="2" t="str">
        <f>IFERROR(__xludf.DUMMYFUNCTION("REGEXREPLACE(A1242,""^Trường\s*"","""")"),"THCS Quảng Nhân")</f>
        <v>THCS Quảng Nhân</v>
      </c>
    </row>
    <row r="1243">
      <c r="A1243" s="1" t="s">
        <v>2837</v>
      </c>
      <c r="B1243" s="2" t="s">
        <v>2838</v>
      </c>
      <c r="C1243" s="2" t="s">
        <v>1248</v>
      </c>
      <c r="E1243" s="2" t="str">
        <f>IFERROR(__xludf.DUMMYFUNCTION("REGEXREPLACE(A1243,""^Trường\s*"","""")"),"THCS Tiên Trang")</f>
        <v>THCS Tiên Trang</v>
      </c>
    </row>
    <row r="1244">
      <c r="A1244" s="1" t="s">
        <v>2840</v>
      </c>
      <c r="B1244" s="2" t="s">
        <v>2841</v>
      </c>
      <c r="C1244" s="2" t="s">
        <v>1049</v>
      </c>
      <c r="E1244" s="2" t="str">
        <f>IFERROR(__xludf.DUMMYFUNCTION("REGEXREPLACE(A1244,""^Trường\s*"","""")"),"THCS Quảng Thái")</f>
        <v>THCS Quảng Thái</v>
      </c>
    </row>
    <row r="1245">
      <c r="A1245" s="1" t="s">
        <v>2842</v>
      </c>
      <c r="B1245" s="2" t="s">
        <v>2844</v>
      </c>
      <c r="C1245" s="2" t="s">
        <v>1248</v>
      </c>
      <c r="E1245" s="2" t="str">
        <f>IFERROR(__xludf.DUMMYFUNCTION("REGEXREPLACE(A1245,""^Trường\s*"","""")"),"THCS Quảng Nham")</f>
        <v>THCS Quảng Nham</v>
      </c>
    </row>
    <row r="1246">
      <c r="A1246" s="1" t="s">
        <v>2845</v>
      </c>
      <c r="B1246" s="2" t="s">
        <v>2846</v>
      </c>
      <c r="C1246" s="2" t="s">
        <v>1248</v>
      </c>
      <c r="E1246" s="2" t="str">
        <f>IFERROR(__xludf.DUMMYFUNCTION("REGEXREPLACE(A1246,""^Trường\s*"","""")"),"THCS Quảng Thạch")</f>
        <v>THCS Quảng Thạch</v>
      </c>
    </row>
    <row r="1247">
      <c r="A1247" s="1" t="s">
        <v>2847</v>
      </c>
      <c r="B1247" s="2" t="s">
        <v>2848</v>
      </c>
      <c r="C1247" s="2" t="s">
        <v>1851</v>
      </c>
      <c r="E1247" s="2" t="str">
        <f>IFERROR(__xludf.DUMMYFUNCTION("REGEXREPLACE(A1247,""^Trường\s*"","""")"),"THCS Nguyễn Bá Ngọc")</f>
        <v>THCS Nguyễn Bá Ngọc</v>
      </c>
    </row>
    <row r="1248">
      <c r="A1248" s="1" t="s">
        <v>2850</v>
      </c>
      <c r="B1248" s="2" t="s">
        <v>2851</v>
      </c>
      <c r="C1248" s="2" t="s">
        <v>1851</v>
      </c>
      <c r="E1248" s="2" t="str">
        <f>IFERROR(__xludf.DUMMYFUNCTION("REGEXREPLACE(A1248,""^Trường\s*"","""")"),"THCS Quảng Chính")</f>
        <v>THCS Quảng Chính</v>
      </c>
    </row>
    <row r="1249">
      <c r="A1249" s="1" t="s">
        <v>2852</v>
      </c>
      <c r="B1249" s="2" t="s">
        <v>2853</v>
      </c>
      <c r="C1249" s="2" t="s">
        <v>1851</v>
      </c>
      <c r="E1249" s="2" t="str">
        <f>IFERROR(__xludf.DUMMYFUNCTION("REGEXREPLACE(A1249,""^Trường\s*"","""")"),"THCS Quảng Khê")</f>
        <v>THCS Quảng Khê</v>
      </c>
    </row>
    <row r="1250">
      <c r="A1250" s="1" t="s">
        <v>2854</v>
      </c>
      <c r="B1250" s="2" t="s">
        <v>2855</v>
      </c>
      <c r="C1250" s="2" t="s">
        <v>1049</v>
      </c>
      <c r="E1250" s="2" t="str">
        <f>IFERROR(__xludf.DUMMYFUNCTION("REGEXREPLACE(A1250,""^Trường\s*"","""")"),"THCS Quảng Bình")</f>
        <v>THCS Quảng Bình</v>
      </c>
    </row>
    <row r="1251">
      <c r="A1251" s="1" t="s">
        <v>2857</v>
      </c>
      <c r="B1251" s="2" t="s">
        <v>2858</v>
      </c>
      <c r="C1251" s="2" t="s">
        <v>1066</v>
      </c>
      <c r="E1251" s="2" t="str">
        <f>IFERROR(__xludf.DUMMYFUNCTION("REGEXREPLACE(A1251,""^Trường\s*"","""")"),"THCS Quảng Ninh")</f>
        <v>THCS Quảng Ninh</v>
      </c>
    </row>
    <row r="1252">
      <c r="A1252" s="1" t="s">
        <v>2859</v>
      </c>
      <c r="B1252" s="2" t="s">
        <v>2860</v>
      </c>
      <c r="C1252" s="2" t="s">
        <v>21</v>
      </c>
      <c r="E1252" s="2" t="str">
        <f>IFERROR(__xludf.DUMMYFUNCTION("REGEXREPLACE(A1252,""^Trường\s*"","""")"),"THCS Tân Phong 2")</f>
        <v>THCS Tân Phong 2</v>
      </c>
    </row>
    <row r="1253">
      <c r="A1253" s="1" t="s">
        <v>2861</v>
      </c>
      <c r="B1253" s="2" t="s">
        <v>2862</v>
      </c>
      <c r="C1253" s="2" t="s">
        <v>21</v>
      </c>
      <c r="E1253" s="2" t="str">
        <f>IFERROR(__xludf.DUMMYFUNCTION("REGEXREPLACE(A1253,""^Trường\s*"","""")"),"THCS Nguyễn Du")</f>
        <v>THCS Nguyễn Du</v>
      </c>
    </row>
    <row r="1254">
      <c r="A1254" s="1" t="s">
        <v>2864</v>
      </c>
      <c r="B1254" s="2" t="s">
        <v>2865</v>
      </c>
      <c r="C1254" s="2" t="s">
        <v>24</v>
      </c>
      <c r="E1254" s="2" t="str">
        <f>IFERROR(__xludf.DUMMYFUNCTION("REGEXREPLACE(A1254,""^Trường\s*"","""")"),"THCS Quảng Thịnh")</f>
        <v>THCS Quảng Thịnh</v>
      </c>
    </row>
    <row r="1255">
      <c r="A1255" s="1" t="s">
        <v>2866</v>
      </c>
      <c r="B1255" s="2" t="s">
        <v>2867</v>
      </c>
      <c r="C1255" s="2" t="s">
        <v>24</v>
      </c>
      <c r="E1255" s="2" t="str">
        <f>IFERROR(__xludf.DUMMYFUNCTION("REGEXREPLACE(A1255,""^Trường\s*"","""")"),"THCS Quảng Đông")</f>
        <v>THCS Quảng Đông</v>
      </c>
    </row>
    <row r="1256">
      <c r="A1256" s="1" t="s">
        <v>2868</v>
      </c>
      <c r="B1256" s="2" t="s">
        <v>2869</v>
      </c>
      <c r="C1256" s="2" t="s">
        <v>21</v>
      </c>
      <c r="E1256" s="2" t="str">
        <f>IFERROR(__xludf.DUMMYFUNCTION("REGEXREPLACE(A1256,""^Trường\s*"","""")"),"THCS Quảng Định")</f>
        <v>THCS Quảng Định</v>
      </c>
    </row>
    <row r="1257">
      <c r="A1257" s="1" t="s">
        <v>2871</v>
      </c>
      <c r="B1257" s="2" t="s">
        <v>2872</v>
      </c>
      <c r="C1257" s="2" t="s">
        <v>21</v>
      </c>
      <c r="E1257" s="2" t="str">
        <f>IFERROR(__xludf.DUMMYFUNCTION("REGEXREPLACE(A1257,""^Trường\s*"","""")"),"THCS Quảng Đức")</f>
        <v>THCS Quảng Đức</v>
      </c>
    </row>
    <row r="1258">
      <c r="A1258" s="1" t="s">
        <v>2873</v>
      </c>
      <c r="B1258" s="2" t="s">
        <v>2874</v>
      </c>
      <c r="C1258" s="2" t="s">
        <v>1891</v>
      </c>
      <c r="E1258" s="2" t="str">
        <f>IFERROR(__xludf.DUMMYFUNCTION("REGEXREPLACE(A1258,""^Trường\s*"","""")"),"THCS Quảng Yên")</f>
        <v>THCS Quảng Yên</v>
      </c>
    </row>
    <row r="1259">
      <c r="A1259" s="1" t="s">
        <v>2875</v>
      </c>
      <c r="B1259" s="2" t="s">
        <v>2876</v>
      </c>
      <c r="C1259" s="2" t="s">
        <v>1891</v>
      </c>
      <c r="E1259" s="2" t="str">
        <f>IFERROR(__xludf.DUMMYFUNCTION("REGEXREPLACE(A1259,""^Trường\s*"","""")"),"THCS Quảng Trạch")</f>
        <v>THCS Quảng Trạch</v>
      </c>
    </row>
    <row r="1260">
      <c r="A1260" s="1" t="s">
        <v>2877</v>
      </c>
      <c r="B1260" s="2" t="s">
        <v>2878</v>
      </c>
      <c r="C1260" s="2" t="s">
        <v>1057</v>
      </c>
      <c r="E1260" s="2" t="str">
        <f>IFERROR(__xludf.DUMMYFUNCTION("REGEXREPLACE(A1260,""^Trường\s*"","""")"),"THCS Quảng văn")</f>
        <v>THCS Quảng văn</v>
      </c>
    </row>
    <row r="1261">
      <c r="A1261" s="1" t="s">
        <v>2880</v>
      </c>
      <c r="B1261" s="2" t="s">
        <v>2881</v>
      </c>
      <c r="C1261" s="2" t="s">
        <v>1891</v>
      </c>
      <c r="E1261" s="2" t="str">
        <f>IFERROR(__xludf.DUMMYFUNCTION("REGEXREPLACE(A1261,""^Trường\s*"","""")"),"THCS Quảng Long")</f>
        <v>THCS Quảng Long</v>
      </c>
    </row>
    <row r="1262">
      <c r="A1262" s="1" t="s">
        <v>2882</v>
      </c>
      <c r="B1262" s="2" t="s">
        <v>2883</v>
      </c>
      <c r="C1262" s="2" t="s">
        <v>1891</v>
      </c>
      <c r="E1262" s="2" t="str">
        <f>IFERROR(__xludf.DUMMYFUNCTION("REGEXREPLACE(A1262,""^Trường\s*"","""")"),"THCS Quảng Hòa")</f>
        <v>THCS Quảng Hòa</v>
      </c>
    </row>
    <row r="1263">
      <c r="A1263" s="1" t="s">
        <v>2884</v>
      </c>
      <c r="B1263" s="2" t="s">
        <v>2886</v>
      </c>
      <c r="C1263" s="2" t="s">
        <v>1057</v>
      </c>
      <c r="E1263" s="2" t="str">
        <f>IFERROR(__xludf.DUMMYFUNCTION("REGEXREPLACE(A1263,""^Trường\s*"","""")"),"THCS Quảng Hợp")</f>
        <v>THCS Quảng Hợp</v>
      </c>
    </row>
    <row r="1264">
      <c r="A1264" s="1" t="s">
        <v>2887</v>
      </c>
      <c r="B1264" s="2" t="s">
        <v>2888</v>
      </c>
      <c r="C1264" s="2" t="s">
        <v>1057</v>
      </c>
      <c r="E1264" s="2" t="str">
        <f>IFERROR(__xludf.DUMMYFUNCTION("REGEXREPLACE(A1264,""^Trường\s*"","""")"),"THCS Quảng Phúc")</f>
        <v>THCS Quảng Phúc</v>
      </c>
    </row>
    <row r="1265">
      <c r="A1265" s="1" t="s">
        <v>2889</v>
      </c>
      <c r="B1265" s="2" t="s">
        <v>2890</v>
      </c>
      <c r="C1265" s="2" t="s">
        <v>1057</v>
      </c>
      <c r="E1265" s="2" t="str">
        <f>IFERROR(__xludf.DUMMYFUNCTION("REGEXREPLACE(A1265,""^Trường\s*"","""")"),"THCS Quảng Ngọc")</f>
        <v>THCS Quảng Ngọc</v>
      </c>
    </row>
    <row r="1266">
      <c r="A1266" s="1" t="s">
        <v>2892</v>
      </c>
      <c r="B1266" s="2" t="s">
        <v>2893</v>
      </c>
      <c r="C1266" s="2" t="s">
        <v>1851</v>
      </c>
      <c r="E1266" s="2" t="str">
        <f>IFERROR(__xludf.DUMMYFUNCTION("REGEXREPLACE(A1266,""^Trường\s*"","""")"),"THCS Quảng trường")</f>
        <v>THCS Quảng trường</v>
      </c>
    </row>
    <row r="1267">
      <c r="A1267" s="1" t="s">
        <v>2894</v>
      </c>
      <c r="B1267" s="2" t="s">
        <v>2895</v>
      </c>
      <c r="C1267" s="2" t="s">
        <v>21</v>
      </c>
      <c r="E1267" s="2" t="str">
        <f>IFERROR(__xludf.DUMMYFUNCTION("REGEXREPLACE(A1267,""^Trường\s*"","""")"),"THCS Tân Phong 1")</f>
        <v>THCS Tân Phong 1</v>
      </c>
    </row>
    <row r="1268">
      <c r="A1268" s="1" t="s">
        <v>2896</v>
      </c>
      <c r="B1268" s="2" t="s">
        <v>2897</v>
      </c>
      <c r="C1268" s="2" t="s">
        <v>650</v>
      </c>
      <c r="E1268" s="2" t="str">
        <f>IFERROR(__xludf.DUMMYFUNCTION("REGEXREPLACE(A1268,""^Trường\s*"","""")"),"THCS Các Sơn")</f>
        <v>THCS Các Sơn</v>
      </c>
    </row>
    <row r="1269">
      <c r="A1269" s="1" t="s">
        <v>2533</v>
      </c>
      <c r="B1269" s="2" t="s">
        <v>2899</v>
      </c>
      <c r="C1269" s="2" t="s">
        <v>320</v>
      </c>
      <c r="E1269" s="2" t="str">
        <f>IFERROR(__xludf.DUMMYFUNCTION("REGEXREPLACE(A1269,""^Trường\s*"","""")"),"THCS Thanh Sơn")</f>
        <v>THCS Thanh Sơn</v>
      </c>
    </row>
    <row r="1270">
      <c r="A1270" s="1" t="s">
        <v>2900</v>
      </c>
      <c r="B1270" s="2" t="s">
        <v>2901</v>
      </c>
      <c r="C1270" s="2" t="s">
        <v>2553</v>
      </c>
      <c r="E1270" s="2" t="str">
        <f>IFERROR(__xludf.DUMMYFUNCTION("REGEXREPLACE(A1270,""^Trường\s*"","""")"),"THCS Trường Lâm")</f>
        <v>THCS Trường Lâm</v>
      </c>
    </row>
    <row r="1271">
      <c r="A1271" s="1" t="s">
        <v>2902</v>
      </c>
      <c r="B1271" s="2" t="s">
        <v>2903</v>
      </c>
      <c r="C1271" s="2" t="s">
        <v>56</v>
      </c>
      <c r="E1271" s="2" t="str">
        <f>IFERROR(__xludf.DUMMYFUNCTION("REGEXREPLACE(A1271,""^Trường\s*"","""")"),"THCS Xuân lâm")</f>
        <v>THCS Xuân lâm</v>
      </c>
    </row>
    <row r="1272">
      <c r="A1272" s="1" t="s">
        <v>2905</v>
      </c>
      <c r="B1272" s="2" t="s">
        <v>2906</v>
      </c>
      <c r="C1272" s="2" t="s">
        <v>56</v>
      </c>
      <c r="E1272" s="2" t="str">
        <f>IFERROR(__xludf.DUMMYFUNCTION("REGEXREPLACE(A1272,""^Trường\s*"","""")"),"THCS Đào Duy Từ")</f>
        <v>THCS Đào Duy Từ</v>
      </c>
    </row>
    <row r="1273">
      <c r="A1273" s="1" t="s">
        <v>2907</v>
      </c>
      <c r="B1273" s="2" t="s">
        <v>2908</v>
      </c>
      <c r="C1273" s="2" t="s">
        <v>475</v>
      </c>
      <c r="E1273" s="2" t="str">
        <f>IFERROR(__xludf.DUMMYFUNCTION("REGEXREPLACE(A1273,""^Trường\s*"","""")"),"THCS Hải Hòa")</f>
        <v>THCS Hải Hòa</v>
      </c>
    </row>
    <row r="1274">
      <c r="A1274" s="1" t="s">
        <v>2909</v>
      </c>
      <c r="B1274" s="2" t="s">
        <v>2911</v>
      </c>
      <c r="C1274" s="2" t="s">
        <v>475</v>
      </c>
      <c r="E1274" s="2" t="str">
        <f>IFERROR(__xludf.DUMMYFUNCTION("REGEXREPLACE(A1274,""^Trường\s*"","""")"),"THCS Thị trấn")</f>
        <v>THCS Thị trấn</v>
      </c>
    </row>
    <row r="1275">
      <c r="A1275" s="1" t="s">
        <v>2912</v>
      </c>
      <c r="B1275" s="2" t="s">
        <v>2913</v>
      </c>
      <c r="C1275" s="2" t="s">
        <v>460</v>
      </c>
      <c r="E1275" s="2" t="str">
        <f>IFERROR(__xludf.DUMMYFUNCTION("REGEXREPLACE(A1275,""^Trường\s*"","""")"),"THCS Tân Dân")</f>
        <v>THCS Tân Dân</v>
      </c>
    </row>
    <row r="1276">
      <c r="A1276" s="1" t="s">
        <v>2914</v>
      </c>
      <c r="B1276" s="2" t="s">
        <v>2915</v>
      </c>
      <c r="C1276" s="2" t="s">
        <v>475</v>
      </c>
      <c r="E1276" s="2" t="str">
        <f>IFERROR(__xludf.DUMMYFUNCTION("REGEXREPLACE(A1276,""^Trường\s*"","""")"),"THCS Hải Nhân")</f>
        <v>THCS Hải Nhân</v>
      </c>
    </row>
    <row r="1277">
      <c r="A1277" s="1" t="s">
        <v>2917</v>
      </c>
      <c r="B1277" s="2" t="s">
        <v>2918</v>
      </c>
      <c r="C1277" s="2" t="s">
        <v>320</v>
      </c>
      <c r="E1277" s="2" t="str">
        <f>IFERROR(__xludf.DUMMYFUNCTION("REGEXREPLACE(A1277,""^Trường\s*"","""")"),"THCS Hải Ninh")</f>
        <v>THCS Hải Ninh</v>
      </c>
    </row>
    <row r="1278">
      <c r="A1278" s="1" t="s">
        <v>2919</v>
      </c>
      <c r="B1278" s="2" t="s">
        <v>2920</v>
      </c>
      <c r="C1278" s="2" t="s">
        <v>246</v>
      </c>
      <c r="E1278" s="2" t="str">
        <f>IFERROR(__xludf.DUMMYFUNCTION("REGEXREPLACE(A1278,""^Trường\s*"","""")"),"THCS Ninh Hải")</f>
        <v>THCS Ninh Hải</v>
      </c>
    </row>
    <row r="1279">
      <c r="A1279" s="1" t="s">
        <v>253</v>
      </c>
      <c r="B1279" s="2" t="s">
        <v>256</v>
      </c>
      <c r="C1279" s="2" t="s">
        <v>246</v>
      </c>
      <c r="E1279" s="2" t="str">
        <f>IFERROR(__xludf.DUMMYFUNCTION("REGEXREPLACE(A1279,""^Trường\s*"","""")"),"TH amp; THCS Định Hải")</f>
        <v>TH amp; THCS Định Hải</v>
      </c>
    </row>
    <row r="1280">
      <c r="A1280" s="1" t="s">
        <v>2921</v>
      </c>
      <c r="B1280" s="2" t="s">
        <v>2922</v>
      </c>
      <c r="C1280" s="2" t="s">
        <v>45</v>
      </c>
      <c r="E1280" s="2" t="str">
        <f>IFERROR(__xludf.DUMMYFUNCTION("REGEXREPLACE(A1280,""^Trường\s*"","""")"),"THCS Hải Hà")</f>
        <v>THCS Hải Hà</v>
      </c>
    </row>
    <row r="1281">
      <c r="A1281" s="1" t="s">
        <v>2924</v>
      </c>
      <c r="B1281" s="2" t="s">
        <v>2925</v>
      </c>
      <c r="C1281" s="2" t="s">
        <v>45</v>
      </c>
      <c r="E1281" s="2" t="str">
        <f>IFERROR(__xludf.DUMMYFUNCTION("REGEXREPLACE(A1281,""^Trường\s*"","""")"),"THCS Nghi Sơn")</f>
        <v>THCS Nghi Sơn</v>
      </c>
    </row>
    <row r="1282">
      <c r="A1282" s="1" t="s">
        <v>2926</v>
      </c>
      <c r="B1282" s="2" t="s">
        <v>2927</v>
      </c>
      <c r="C1282" s="2" t="s">
        <v>231</v>
      </c>
      <c r="E1282" s="2" t="str">
        <f>IFERROR(__xludf.DUMMYFUNCTION("REGEXREPLACE(A1282,""^Trường\s*"","""")"),"THCS Tĩnh Hải")</f>
        <v>THCS Tĩnh Hải</v>
      </c>
    </row>
    <row r="1283">
      <c r="A1283" s="1" t="s">
        <v>2928</v>
      </c>
      <c r="B1283" s="2" t="s">
        <v>2929</v>
      </c>
      <c r="C1283" s="2" t="s">
        <v>231</v>
      </c>
      <c r="E1283" s="2" t="str">
        <f>IFERROR(__xludf.DUMMYFUNCTION("REGEXREPLACE(A1283,""^Trường\s*"","""")"),"THCS Hải Bình")</f>
        <v>THCS Hải Bình</v>
      </c>
    </row>
    <row r="1284">
      <c r="A1284" s="1" t="s">
        <v>2930</v>
      </c>
      <c r="B1284" s="2" t="s">
        <v>2931</v>
      </c>
      <c r="C1284" s="2" t="s">
        <v>475</v>
      </c>
      <c r="E1284" s="2" t="str">
        <f>IFERROR(__xludf.DUMMYFUNCTION("REGEXREPLACE(A1284,""^Trường\s*"","""")"),"THCS Hải Thanh")</f>
        <v>THCS Hải Thanh</v>
      </c>
    </row>
    <row r="1285">
      <c r="A1285" s="1" t="s">
        <v>2932</v>
      </c>
      <c r="B1285" s="2" t="s">
        <v>2933</v>
      </c>
      <c r="C1285" s="2" t="s">
        <v>475</v>
      </c>
      <c r="E1285" s="2" t="str">
        <f>IFERROR(__xludf.DUMMYFUNCTION("REGEXREPLACE(A1285,""^Trường\s*"","""")"),"THCS Bình Minh")</f>
        <v>THCS Bình Minh</v>
      </c>
    </row>
    <row r="1286">
      <c r="A1286" s="1" t="s">
        <v>2934</v>
      </c>
      <c r="B1286" s="2" t="s">
        <v>2935</v>
      </c>
      <c r="C1286" s="2" t="s">
        <v>508</v>
      </c>
      <c r="E1286" s="2" t="str">
        <f>IFERROR(__xludf.DUMMYFUNCTION("REGEXREPLACE(A1286,""^Trường\s*"","""")"),"THCS Trúc Lâm")</f>
        <v>THCS Trúc Lâm</v>
      </c>
    </row>
    <row r="1287">
      <c r="A1287" s="1" t="s">
        <v>415</v>
      </c>
      <c r="B1287" s="2" t="s">
        <v>2936</v>
      </c>
      <c r="C1287" s="2" t="s">
        <v>508</v>
      </c>
      <c r="E1287" s="2" t="str">
        <f>IFERROR(__xludf.DUMMYFUNCTION("REGEXREPLACE(A1287,""^Trường\s*"","""")"),"THCS Phú Sơn")</f>
        <v>THCS Phú Sơn</v>
      </c>
    </row>
    <row r="1288">
      <c r="A1288" s="1" t="s">
        <v>2937</v>
      </c>
      <c r="B1288" s="2" t="s">
        <v>2938</v>
      </c>
      <c r="C1288" s="2" t="s">
        <v>508</v>
      </c>
      <c r="E1288" s="2" t="str">
        <f>IFERROR(__xludf.DUMMYFUNCTION("REGEXREPLACE(A1288,""^Trường\s*"","""")"),"THCS Tùng Lâm")</f>
        <v>THCS Tùng Lâm</v>
      </c>
    </row>
    <row r="1289">
      <c r="A1289" s="1" t="s">
        <v>2939</v>
      </c>
      <c r="B1289" s="2" t="s">
        <v>2940</v>
      </c>
      <c r="C1289" s="2" t="s">
        <v>508</v>
      </c>
      <c r="E1289" s="2" t="str">
        <f>IFERROR(__xludf.DUMMYFUNCTION("REGEXREPLACE(A1289,""^Trường\s*"","""")"),"THCS Phú Lâm")</f>
        <v>THCS Phú Lâm</v>
      </c>
    </row>
    <row r="1290">
      <c r="A1290" s="1" t="s">
        <v>2941</v>
      </c>
      <c r="B1290" s="2" t="s">
        <v>2942</v>
      </c>
      <c r="C1290" s="2" t="s">
        <v>2553</v>
      </c>
      <c r="E1290" s="2" t="str">
        <f>IFERROR(__xludf.DUMMYFUNCTION("REGEXREPLACE(A1290,""^Trường\s*"","""")"),"THCS Tân Trường")</f>
        <v>THCS Tân Trường</v>
      </c>
    </row>
    <row r="1291">
      <c r="A1291" s="1" t="s">
        <v>2943</v>
      </c>
      <c r="B1291" s="2" t="s">
        <v>2944</v>
      </c>
      <c r="C1291" s="2" t="s">
        <v>231</v>
      </c>
      <c r="E1291" s="2" t="str">
        <f>IFERROR(__xludf.DUMMYFUNCTION("REGEXREPLACE(A1291,""^Trường\s*"","""")"),"THCS Mai Lâm")</f>
        <v>THCS Mai Lâm</v>
      </c>
    </row>
    <row r="1292">
      <c r="A1292" s="1" t="s">
        <v>240</v>
      </c>
      <c r="B1292" s="2" t="s">
        <v>242</v>
      </c>
      <c r="C1292" s="2" t="s">
        <v>231</v>
      </c>
      <c r="E1292" s="2" t="str">
        <f>IFERROR(__xludf.DUMMYFUNCTION("REGEXREPLACE(A1292,""^Trường\s*"","""")"),"THamp;THCS Queensland")</f>
        <v>THamp;THCS Queensland</v>
      </c>
    </row>
    <row r="1293">
      <c r="A1293" s="1" t="s">
        <v>2945</v>
      </c>
      <c r="B1293" s="2" t="s">
        <v>2946</v>
      </c>
      <c r="C1293" s="2" t="s">
        <v>246</v>
      </c>
      <c r="E1293" s="2" t="str">
        <f>IFERROR(__xludf.DUMMYFUNCTION("REGEXREPLACE(A1293,""^Trường\s*"","""")"),"THCS Hải Lĩnh")</f>
        <v>THCS Hải Lĩnh</v>
      </c>
    </row>
    <row r="1294">
      <c r="A1294" s="1" t="s">
        <v>2947</v>
      </c>
      <c r="B1294" s="2" t="s">
        <v>2948</v>
      </c>
      <c r="C1294" s="2" t="s">
        <v>650</v>
      </c>
      <c r="E1294" s="2" t="str">
        <f>IFERROR(__xludf.DUMMYFUNCTION("REGEXREPLACE(A1294,""^Trường\s*"","""")"),"THCS Anh Sơn")</f>
        <v>THCS Anh Sơn</v>
      </c>
    </row>
    <row r="1295">
      <c r="A1295" s="1" t="s">
        <v>2949</v>
      </c>
      <c r="B1295" s="2" t="s">
        <v>2950</v>
      </c>
      <c r="C1295" s="2" t="s">
        <v>320</v>
      </c>
      <c r="E1295" s="2" t="str">
        <f>IFERROR(__xludf.DUMMYFUNCTION("REGEXREPLACE(A1295,""^Trường\s*"","""")"),"THCS Thanh Thuỷ")</f>
        <v>THCS Thanh Thuỷ</v>
      </c>
    </row>
    <row r="1296">
      <c r="A1296" s="1" t="s">
        <v>2951</v>
      </c>
      <c r="B1296" s="2" t="s">
        <v>2952</v>
      </c>
      <c r="C1296" s="2" t="s">
        <v>460</v>
      </c>
      <c r="E1296" s="2" t="str">
        <f>IFERROR(__xludf.DUMMYFUNCTION("REGEXREPLACE(A1296,""^Trường\s*"","""")"),"THCS Hải An")</f>
        <v>THCS Hải An</v>
      </c>
    </row>
    <row r="1297">
      <c r="A1297" s="1" t="s">
        <v>2953</v>
      </c>
      <c r="B1297" s="2" t="s">
        <v>2954</v>
      </c>
      <c r="C1297" s="2" t="s">
        <v>320</v>
      </c>
      <c r="E1297" s="2" t="str">
        <f>IFERROR(__xludf.DUMMYFUNCTION("REGEXREPLACE(A1297,""^Trường\s*"","""")"),"THCS Hải châu")</f>
        <v>THCS Hải châu</v>
      </c>
    </row>
    <row r="1298">
      <c r="A1298" s="1" t="s">
        <v>2955</v>
      </c>
      <c r="B1298" s="2" t="s">
        <v>2956</v>
      </c>
      <c r="C1298" s="2" t="s">
        <v>460</v>
      </c>
      <c r="E1298" s="2" t="str">
        <f>IFERROR(__xludf.DUMMYFUNCTION("REGEXREPLACE(A1298,""^Trường\s*"","""")"),"THCS Ngọc Lĩnh")</f>
        <v>THCS Ngọc Lĩnh</v>
      </c>
    </row>
    <row r="1299">
      <c r="A1299" s="1" t="s">
        <v>500</v>
      </c>
      <c r="B1299" s="2" t="s">
        <v>501</v>
      </c>
      <c r="C1299" s="2" t="s">
        <v>475</v>
      </c>
      <c r="E1299" s="2" t="str">
        <f>IFERROR(__xludf.DUMMYFUNCTION("REGEXREPLACE(A1299,""^Trường\s*"","""")"),"TH&amp;THCS Lương Chí")</f>
        <v>TH&amp;THCS Lương Chí</v>
      </c>
    </row>
    <row r="1300">
      <c r="A1300" s="1" t="s">
        <v>334</v>
      </c>
      <c r="B1300" s="2" t="s">
        <v>335</v>
      </c>
      <c r="C1300" s="2" t="s">
        <v>320</v>
      </c>
      <c r="E1300" s="2" t="str">
        <f>IFERROR(__xludf.DUMMYFUNCTION("REGEXREPLACE(A1300,""^Trường\s*"","""")"),"TH&amp;THCS Triêu Dương")</f>
        <v>TH&amp;THCS Triêu Dương</v>
      </c>
    </row>
    <row r="1301">
      <c r="A1301" s="1" t="s">
        <v>64</v>
      </c>
      <c r="B1301" s="2" t="s">
        <v>68</v>
      </c>
      <c r="C1301" s="2" t="s">
        <v>56</v>
      </c>
      <c r="E1301" s="2" t="str">
        <f>IFERROR(__xludf.DUMMYFUNCTION("REGEXREPLACE(A1301,""^Trường\s*"","""")"),"TH&amp;THCS Hải Yến")</f>
        <v>TH&amp;THCS Hải Yến</v>
      </c>
    </row>
    <row r="1302">
      <c r="A1302" s="13" t="s">
        <v>1131</v>
      </c>
      <c r="B1302" s="2" t="s">
        <v>1142</v>
      </c>
      <c r="C1302" s="2" t="s">
        <v>378</v>
      </c>
      <c r="E1302" s="2" t="str">
        <f>IFERROR(__xludf.DUMMYFUNCTION("REGEXREPLACE(A1302,""^Trường\s*"","""")"),"THCS&amp;THPT Quan Hóa")</f>
        <v>THCS&amp;THPT Quan Hóa</v>
      </c>
    </row>
    <row r="1303">
      <c r="A1303" s="19" t="s">
        <v>88</v>
      </c>
      <c r="B1303" s="20" t="s">
        <v>261</v>
      </c>
      <c r="C1303" s="19" t="s">
        <v>31</v>
      </c>
      <c r="E1303" s="2" t="str">
        <f>IFERROR(__xludf.DUMMYFUNCTION("REGEXREPLACE(A1303,""^Trường\s*"","""")"),"THPT Bỉm Sơn")</f>
        <v>THPT Bỉm Sơn</v>
      </c>
    </row>
    <row r="1304">
      <c r="A1304" s="19" t="s">
        <v>276</v>
      </c>
      <c r="B1304" s="20" t="s">
        <v>279</v>
      </c>
      <c r="C1304" s="19" t="s">
        <v>31</v>
      </c>
      <c r="E1304" s="2" t="str">
        <f>IFERROR(__xludf.DUMMYFUNCTION("REGEXREPLACE(A1304,""^Trường\s*"","""")"),"THPT Lê Hồng Phong")</f>
        <v>THPT Lê Hồng Phong</v>
      </c>
    </row>
    <row r="1305">
      <c r="A1305" s="19" t="s">
        <v>287</v>
      </c>
      <c r="B1305" s="21" t="s">
        <v>290</v>
      </c>
      <c r="C1305" s="22" t="s">
        <v>31</v>
      </c>
      <c r="E1305" s="2" t="str">
        <f>IFERROR(__xludf.DUMMYFUNCTION("REGEXREPLACE(A1305,""^Trường\s*"","""")"),"Trung Cấp Nghề Bỉm sơn")</f>
        <v>Trung Cấp Nghề Bỉm sơn</v>
      </c>
    </row>
    <row r="1306">
      <c r="A1306" s="19" t="s">
        <v>301</v>
      </c>
      <c r="B1306" s="20" t="s">
        <v>304</v>
      </c>
      <c r="C1306" s="19" t="s">
        <v>73</v>
      </c>
      <c r="E1306" s="2" t="str">
        <f>IFERROR(__xludf.DUMMYFUNCTION("REGEXREPLACE(A1306,""^Trường\s*"","""")"),"THPT Đông Sơn 2")</f>
        <v>THPT Đông Sơn 2</v>
      </c>
    </row>
    <row r="1307">
      <c r="A1307" s="19" t="s">
        <v>74</v>
      </c>
      <c r="B1307" s="20" t="s">
        <v>75</v>
      </c>
      <c r="C1307" s="19" t="s">
        <v>73</v>
      </c>
      <c r="E1307" s="2" t="str">
        <f>IFERROR(__xludf.DUMMYFUNCTION("REGEXREPLACE(A1307,""^Trường\s*"","""")"),"TH, THCS&amp;THPT Nobel")</f>
        <v>TH, THCS&amp;THPT Nobel</v>
      </c>
    </row>
    <row r="1308">
      <c r="A1308" s="19" t="s">
        <v>315</v>
      </c>
      <c r="B1308" s="21" t="s">
        <v>317</v>
      </c>
      <c r="C1308" s="22" t="s">
        <v>73</v>
      </c>
      <c r="E1308" s="2" t="str">
        <f>IFERROR(__xludf.DUMMYFUNCTION("REGEXREPLACE(A1308,""^Trường\s*"","""")"),"Trung tâm GDNN-GDTX số 1")</f>
        <v>Trung tâm GDNN-GDTX số 1</v>
      </c>
    </row>
    <row r="1309">
      <c r="A1309" s="19" t="s">
        <v>15</v>
      </c>
      <c r="B1309" s="20" t="s">
        <v>16</v>
      </c>
      <c r="C1309" s="19" t="s">
        <v>17</v>
      </c>
      <c r="E1309" s="2" t="str">
        <f>IFERROR(__xludf.DUMMYFUNCTION("REGEXREPLACE(A1309,""^Trường\s*"","""")"),"TH, THCS và THPT Nobel School II")</f>
        <v>TH, THCS và THPT Nobel School II</v>
      </c>
    </row>
    <row r="1310">
      <c r="A1310" s="19" t="s">
        <v>329</v>
      </c>
      <c r="B1310" s="20" t="s">
        <v>333</v>
      </c>
      <c r="C1310" s="19" t="s">
        <v>17</v>
      </c>
      <c r="E1310" s="2" t="str">
        <f>IFERROR(__xludf.DUMMYFUNCTION("REGEXREPLACE(A1310,""^Trường\s*"","""")"),"THPT Đông Sơn 1")</f>
        <v>THPT Đông Sơn 1</v>
      </c>
    </row>
    <row r="1311">
      <c r="A1311" s="19" t="s">
        <v>25</v>
      </c>
      <c r="B1311" s="20" t="s">
        <v>26</v>
      </c>
      <c r="C1311" s="19" t="s">
        <v>17</v>
      </c>
      <c r="E1311" s="2" t="str">
        <f>IFERROR(__xludf.DUMMYFUNCTION("REGEXREPLACE(A1311,""^Trường\s*"","""")"),"Phổ thông Nguyễn Mộng Tuân")</f>
        <v>Phổ thông Nguyễn Mộng Tuân</v>
      </c>
    </row>
    <row r="1312">
      <c r="A1312" s="19" t="s">
        <v>11</v>
      </c>
      <c r="B1312" s="20" t="s">
        <v>12</v>
      </c>
      <c r="C1312" s="19" t="s">
        <v>13</v>
      </c>
      <c r="E1312" s="2" t="str">
        <f>IFERROR(__xludf.DUMMYFUNCTION("REGEXREPLACE(A1312,""^Trường\s*"","""")"),"TH, THCS&amp;THPT Hồng Đức")</f>
        <v>TH, THCS&amp;THPT Hồng Đức</v>
      </c>
    </row>
    <row r="1313">
      <c r="A1313" s="19" t="s">
        <v>350</v>
      </c>
      <c r="B1313" s="20" t="s">
        <v>353</v>
      </c>
      <c r="C1313" s="19" t="s">
        <v>13</v>
      </c>
      <c r="E1313" s="2" t="str">
        <f>IFERROR(__xludf.DUMMYFUNCTION("REGEXREPLACE(A1313,""^Trường\s*"","""")"),"THPT chuyên Lam Sơn")</f>
        <v>THPT chuyên Lam Sơn</v>
      </c>
    </row>
    <row r="1314">
      <c r="A1314" s="19" t="s">
        <v>358</v>
      </c>
      <c r="B1314" s="20" t="s">
        <v>361</v>
      </c>
      <c r="C1314" s="19" t="s">
        <v>13</v>
      </c>
      <c r="E1314" s="2" t="str">
        <f>IFERROR(__xludf.DUMMYFUNCTION("REGEXREPLACE(A1314,""^Trường\s*"","""")"),"THPT Hàm Rồng")</f>
        <v>THPT Hàm Rồng</v>
      </c>
    </row>
    <row r="1315">
      <c r="A1315" s="19" t="s">
        <v>365</v>
      </c>
      <c r="B1315" s="20" t="s">
        <v>368</v>
      </c>
      <c r="C1315" s="19" t="s">
        <v>13</v>
      </c>
      <c r="E1315" s="2" t="str">
        <f>IFERROR(__xludf.DUMMYFUNCTION("REGEXREPLACE(A1315,""^Trường\s*"","""")"),"THPT Đào Duy Từ")</f>
        <v>THPT Đào Duy Từ</v>
      </c>
    </row>
    <row r="1316">
      <c r="A1316" s="19" t="s">
        <v>374</v>
      </c>
      <c r="B1316" s="20" t="s">
        <v>376</v>
      </c>
      <c r="C1316" s="19" t="s">
        <v>13</v>
      </c>
      <c r="E1316" s="2" t="str">
        <f>IFERROR(__xludf.DUMMYFUNCTION("REGEXREPLACE(A1316,""^Trường\s*"","""")"),"THPT Tô Hiến Thành")</f>
        <v>THPT Tô Hiến Thành</v>
      </c>
    </row>
    <row r="1317">
      <c r="A1317" s="19" t="s">
        <v>380</v>
      </c>
      <c r="B1317" s="20" t="s">
        <v>382</v>
      </c>
      <c r="C1317" s="19" t="s">
        <v>13</v>
      </c>
      <c r="E1317" s="2" t="str">
        <f>IFERROR(__xludf.DUMMYFUNCTION("REGEXREPLACE(A1317,""^Trường\s*"","""")"),"THPT Nguyễn Trãi")</f>
        <v>THPT Nguyễn Trãi</v>
      </c>
    </row>
    <row r="1318">
      <c r="A1318" s="19" t="s">
        <v>387</v>
      </c>
      <c r="B1318" s="20" t="s">
        <v>390</v>
      </c>
      <c r="C1318" s="19" t="s">
        <v>13</v>
      </c>
      <c r="E1318" s="2" t="str">
        <f>IFERROR(__xludf.DUMMYFUNCTION("REGEXREPLACE(A1318,""^Trường\s*"","""")"),"THPT Đào Duy Anh")</f>
        <v>THPT Đào Duy Anh</v>
      </c>
    </row>
    <row r="1319">
      <c r="A1319" s="19" t="s">
        <v>396</v>
      </c>
      <c r="B1319" s="20" t="s">
        <v>398</v>
      </c>
      <c r="C1319" s="19" t="s">
        <v>13</v>
      </c>
      <c r="E1319" s="2" t="str">
        <f>IFERROR(__xludf.DUMMYFUNCTION("REGEXREPLACE(A1319,""^Trường\s*"","""")"),"THPT Trường Thi")</f>
        <v>THPT Trường Thi</v>
      </c>
    </row>
    <row r="1320">
      <c r="A1320" s="19" t="s">
        <v>404</v>
      </c>
      <c r="B1320" s="20" t="s">
        <v>405</v>
      </c>
      <c r="C1320" s="19" t="s">
        <v>13</v>
      </c>
      <c r="E1320" s="2" t="str">
        <f>IFERROR(__xludf.DUMMYFUNCTION("REGEXREPLACE(A1320,""^Trường\s*"","""")"),"THPT Lý Thường Kiệt")</f>
        <v>THPT Lý Thường Kiệt</v>
      </c>
    </row>
    <row r="1321">
      <c r="A1321" s="19" t="s">
        <v>410</v>
      </c>
      <c r="B1321" s="20" t="s">
        <v>411</v>
      </c>
      <c r="C1321" s="19" t="s">
        <v>13</v>
      </c>
      <c r="E1321" s="2" t="str">
        <f>IFERROR(__xludf.DUMMYFUNCTION("REGEXREPLACE(A1321,""^Trường\s*"","""")"),"THPT Dân Tộc Nội Trú Thanh Hóa")</f>
        <v>THPT Dân Tộc Nội Trú Thanh Hóa</v>
      </c>
    </row>
    <row r="1322">
      <c r="A1322" s="19" t="s">
        <v>69</v>
      </c>
      <c r="B1322" s="20" t="s">
        <v>71</v>
      </c>
      <c r="C1322" s="19" t="s">
        <v>13</v>
      </c>
      <c r="E1322" s="2" t="str">
        <f>IFERROR(__xludf.DUMMYFUNCTION("REGEXREPLACE(A1322,""^Trường\s*"","""")"),"TH, THCS&amp;THPT Vinschool Star City")</f>
        <v>TH, THCS&amp;THPT Vinschool Star City</v>
      </c>
    </row>
    <row r="1323">
      <c r="A1323" s="19" t="s">
        <v>76</v>
      </c>
      <c r="B1323" s="20" t="s">
        <v>77</v>
      </c>
      <c r="C1323" s="19" t="s">
        <v>13</v>
      </c>
      <c r="E1323" s="2" t="str">
        <f>IFERROR(__xludf.DUMMYFUNCTION("REGEXREPLACE(A1323,""^Trường\s*"","""")"),"TH, THCS&amp;THPT Đông Bắc Ga")</f>
        <v>TH, THCS&amp;THPT Đông Bắc Ga</v>
      </c>
    </row>
    <row r="1324">
      <c r="A1324" s="19" t="s">
        <v>80</v>
      </c>
      <c r="B1324" s="20" t="s">
        <v>82</v>
      </c>
      <c r="C1324" s="19" t="s">
        <v>13</v>
      </c>
      <c r="E1324" s="2" t="str">
        <f>IFERROR(__xludf.DUMMYFUNCTION("REGEXREPLACE(A1324,""^Trường\s*"","""")"),"TH, THCS&amp;THPT Fansipan")</f>
        <v>TH, THCS&amp;THPT Fansipan</v>
      </c>
    </row>
    <row r="1325">
      <c r="A1325" s="19" t="s">
        <v>433</v>
      </c>
      <c r="B1325" s="21" t="s">
        <v>436</v>
      </c>
      <c r="C1325" s="22" t="s">
        <v>13</v>
      </c>
      <c r="E1325" s="2" t="str">
        <f>IFERROR(__xludf.DUMMYFUNCTION("REGEXREPLACE(A1325,""^Trường\s*"","""")"),"Trung tâm GDTX-KTTH Thanh Hóa")</f>
        <v>Trung tâm GDTX-KTTH Thanh Hóa</v>
      </c>
    </row>
    <row r="1326">
      <c r="A1326" s="23" t="s">
        <v>441</v>
      </c>
      <c r="B1326" s="24" t="s">
        <v>450</v>
      </c>
      <c r="C1326" s="25" t="s">
        <v>13</v>
      </c>
      <c r="E1326" s="2" t="str">
        <f>IFERROR(__xludf.DUMMYFUNCTION("REGEXREPLACE(A1326,""^Trường\s*"","""")"),"Cao đẳng Kinh tế Kỹ Thuật Công thương")</f>
        <v>Cao đẳng Kinh tế Kỹ Thuật Công thương</v>
      </c>
    </row>
    <row r="1327">
      <c r="A1327" s="23" t="s">
        <v>465</v>
      </c>
      <c r="B1327" s="24" t="s">
        <v>467</v>
      </c>
      <c r="C1327" s="25" t="s">
        <v>13</v>
      </c>
      <c r="E1327" s="2" t="str">
        <f>IFERROR(__xludf.DUMMYFUNCTION("REGEXREPLACE(A1327,""^Trường\s*"","""")"),"Trung Cấp Nghề Kỹ Nghệ Thanh Hóa")</f>
        <v>Trung Cấp Nghề Kỹ Nghệ Thanh Hóa</v>
      </c>
    </row>
    <row r="1328">
      <c r="A1328" s="19" t="s">
        <v>476</v>
      </c>
      <c r="B1328" s="20" t="s">
        <v>477</v>
      </c>
      <c r="C1328" s="19" t="s">
        <v>231</v>
      </c>
      <c r="E1328" s="2" t="str">
        <f>IFERROR(__xludf.DUMMYFUNCTION("REGEXREPLACE(A1328,""^Trường\s*"","""")"),"THPT Tĩnh Gia 3")</f>
        <v>THPT Tĩnh Gia 3</v>
      </c>
    </row>
    <row r="1329">
      <c r="A1329" s="19" t="s">
        <v>484</v>
      </c>
      <c r="B1329" s="21" t="s">
        <v>485</v>
      </c>
      <c r="C1329" s="22" t="s">
        <v>100</v>
      </c>
      <c r="E1329" s="2" t="str">
        <f>IFERROR(__xludf.DUMMYFUNCTION("REGEXREPLACE(A1329,""^Trường\s*"","""")"),"TC Công nghiệp Bách Khoa")</f>
        <v>TC Công nghiệp Bách Khoa</v>
      </c>
    </row>
    <row r="1330">
      <c r="A1330" s="19" t="s">
        <v>492</v>
      </c>
      <c r="B1330" s="21" t="s">
        <v>495</v>
      </c>
      <c r="C1330" s="22" t="s">
        <v>100</v>
      </c>
      <c r="E1330" s="2" t="str">
        <f>IFERROR(__xludf.DUMMYFUNCTION("REGEXREPLACE(A1330,""^Trường\s*"","""")"),"Cao đẳng công nghiệp Thanh Hóa")</f>
        <v>Cao đẳng công nghiệp Thanh Hóa</v>
      </c>
    </row>
    <row r="1331">
      <c r="A1331" s="19" t="s">
        <v>502</v>
      </c>
      <c r="B1331" s="20" t="s">
        <v>505</v>
      </c>
      <c r="C1331" s="19" t="s">
        <v>283</v>
      </c>
      <c r="E1331" s="2" t="str">
        <f>IFERROR(__xludf.DUMMYFUNCTION("REGEXREPLACE(A1331,""^Trường\s*"","""")"),"THPT Chu Văn An")</f>
        <v>THPT Chu Văn An</v>
      </c>
    </row>
    <row r="1332">
      <c r="A1332" s="19" t="s">
        <v>42</v>
      </c>
      <c r="B1332" s="20" t="s">
        <v>44</v>
      </c>
      <c r="C1332" s="19" t="s">
        <v>45</v>
      </c>
      <c r="E1332" s="2" t="str">
        <f>IFERROR(__xludf.DUMMYFUNCTION("REGEXREPLACE(A1332,""^Trường\s*"","""")"),"THCS&amp;THPT Nghi Sơn")</f>
        <v>THCS&amp;THPT Nghi Sơn</v>
      </c>
    </row>
    <row r="1333">
      <c r="A1333" s="19" t="s">
        <v>521</v>
      </c>
      <c r="B1333" s="20" t="s">
        <v>523</v>
      </c>
      <c r="C1333" s="19" t="s">
        <v>320</v>
      </c>
      <c r="E1333" s="2" t="str">
        <f>IFERROR(__xludf.DUMMYFUNCTION("REGEXREPLACE(A1333,""^Trường\s*"","""")"),"THPT Tĩnh Gia 2")</f>
        <v>THPT Tĩnh Gia 2</v>
      </c>
    </row>
    <row r="1334">
      <c r="A1334" s="19" t="s">
        <v>528</v>
      </c>
      <c r="B1334" s="21" t="s">
        <v>530</v>
      </c>
      <c r="C1334" s="22" t="s">
        <v>342</v>
      </c>
      <c r="E1334" s="2" t="str">
        <f>IFERROR(__xludf.DUMMYFUNCTION("REGEXREPLACE(A1334,""^Trường\s*"","""")"),"CĐ Bách Khoa Việt Nam")</f>
        <v>CĐ Bách Khoa Việt Nam</v>
      </c>
    </row>
    <row r="1335">
      <c r="A1335" s="19" t="s">
        <v>22</v>
      </c>
      <c r="B1335" s="20" t="s">
        <v>23</v>
      </c>
      <c r="C1335" s="19" t="s">
        <v>24</v>
      </c>
      <c r="E1335" s="2" t="str">
        <f>IFERROR(__xludf.DUMMYFUNCTION("REGEXREPLACE(A1335,""^Trường\s*"","""")"),"TH, THCS&amp;THPT FPT")</f>
        <v>TH, THCS&amp;THPT FPT</v>
      </c>
    </row>
    <row r="1336">
      <c r="A1336" s="19" t="s">
        <v>538</v>
      </c>
      <c r="B1336" s="20" t="s">
        <v>540</v>
      </c>
      <c r="C1336" s="19" t="s">
        <v>24</v>
      </c>
      <c r="E1336" s="2" t="str">
        <f>IFERROR(__xludf.DUMMYFUNCTION("REGEXREPLACE(A1336,""^Trường\s*"","""")"),"THPT Nguyễn Huệ")</f>
        <v>THPT Nguyễn Huệ</v>
      </c>
    </row>
    <row r="1337">
      <c r="A1337" s="19" t="s">
        <v>87</v>
      </c>
      <c r="B1337" s="20" t="s">
        <v>89</v>
      </c>
      <c r="C1337" s="19" t="s">
        <v>24</v>
      </c>
      <c r="E1337" s="2" t="str">
        <f>IFERROR(__xludf.DUMMYFUNCTION("REGEXREPLACE(A1337,""^Trường\s*"","""")"),"TH, THCS&amp;THPT QTHSCHOOL")</f>
        <v>TH, THCS&amp;THPT QTHSCHOOL</v>
      </c>
    </row>
    <row r="1338">
      <c r="A1338" s="19" t="s">
        <v>557</v>
      </c>
      <c r="B1338" s="21" t="s">
        <v>559</v>
      </c>
      <c r="C1338" s="22" t="s">
        <v>24</v>
      </c>
      <c r="E1338" s="2" t="str">
        <f>IFERROR(__xludf.DUMMYFUNCTION("REGEXREPLACE(A1338,""^Trường\s*"","""")"),"TC Nghề Thanh thiếu niên Khuyết tật đặc biệt khó khăn")</f>
        <v>TC Nghề Thanh thiếu niên Khuyết tật đặc biệt khó khăn</v>
      </c>
    </row>
    <row r="1339">
      <c r="A1339" s="19" t="s">
        <v>561</v>
      </c>
      <c r="B1339" s="21" t="s">
        <v>563</v>
      </c>
      <c r="C1339" s="22" t="s">
        <v>24</v>
      </c>
      <c r="E1339" s="2" t="str">
        <f>IFERROR(__xludf.DUMMYFUNCTION("REGEXREPLACE(A1339,""^Trường\s*"","""")"),"TC Công nghệ và Y dược miền Trung")</f>
        <v>TC Công nghệ và Y dược miền Trung</v>
      </c>
    </row>
    <row r="1340">
      <c r="A1340" s="19" t="s">
        <v>566</v>
      </c>
      <c r="B1340" s="21" t="s">
        <v>567</v>
      </c>
      <c r="C1340" s="22" t="s">
        <v>24</v>
      </c>
      <c r="E1340" s="2" t="str">
        <f>IFERROR(__xludf.DUMMYFUNCTION("REGEXREPLACE(A1340,""^Trường\s*"","""")"),"CĐ Nghề số 4 - Bộ Quốc phòng")</f>
        <v>CĐ Nghề số 4 - Bộ Quốc phòng</v>
      </c>
    </row>
    <row r="1341">
      <c r="A1341" s="19" t="s">
        <v>572</v>
      </c>
      <c r="B1341" s="21" t="s">
        <v>573</v>
      </c>
      <c r="C1341" s="22" t="s">
        <v>24</v>
      </c>
      <c r="E1341" s="2" t="str">
        <f>IFERROR(__xludf.DUMMYFUNCTION("REGEXREPLACE(A1341,""^Trường\s*"","""")"),"TC Thương Mại Du Lịch Thanh Hóa")</f>
        <v>TC Thương Mại Du Lịch Thanh Hóa</v>
      </c>
    </row>
    <row r="1342">
      <c r="A1342" s="19" t="s">
        <v>577</v>
      </c>
      <c r="B1342" s="20" t="s">
        <v>579</v>
      </c>
      <c r="C1342" s="19" t="s">
        <v>238</v>
      </c>
      <c r="E1342" s="2" t="str">
        <f>IFERROR(__xludf.DUMMYFUNCTION("REGEXREPLACE(A1342,""^Trường\s*"","""")"),"THPT Sầm Sơn")</f>
        <v>THPT Sầm Sơn</v>
      </c>
    </row>
    <row r="1343">
      <c r="A1343" s="19" t="s">
        <v>582</v>
      </c>
      <c r="B1343" s="20" t="s">
        <v>584</v>
      </c>
      <c r="C1343" s="19" t="s">
        <v>238</v>
      </c>
      <c r="E1343" s="2" t="str">
        <f>IFERROR(__xludf.DUMMYFUNCTION("REGEXREPLACE(A1343,""^Trường\s*"","""")"),"THPT Nguyễn Thị Lợi")</f>
        <v>THPT Nguyễn Thị Lợi</v>
      </c>
    </row>
    <row r="1344">
      <c r="A1344" s="19" t="s">
        <v>588</v>
      </c>
      <c r="B1344" s="21" t="s">
        <v>590</v>
      </c>
      <c r="C1344" s="22" t="s">
        <v>238</v>
      </c>
      <c r="E1344" s="2" t="str">
        <f>IFERROR(__xludf.DUMMYFUNCTION("REGEXREPLACE(A1344,""^Trường\s*"","""")"),"Trung tâm GDNN-GDTX Sầm Sơn")</f>
        <v>Trung tâm GDNN-GDTX Sầm Sơn</v>
      </c>
    </row>
    <row r="1345">
      <c r="A1345" s="19" t="s">
        <v>595</v>
      </c>
      <c r="B1345" s="20" t="s">
        <v>597</v>
      </c>
      <c r="C1345" s="19" t="s">
        <v>460</v>
      </c>
      <c r="E1345" s="2" t="str">
        <f>IFERROR(__xludf.DUMMYFUNCTION("REGEXREPLACE(A1345,""^Trường\s*"","""")"),"THPT Tĩnh Gia 4")</f>
        <v>THPT Tĩnh Gia 4</v>
      </c>
    </row>
    <row r="1346">
      <c r="A1346" s="19" t="s">
        <v>601</v>
      </c>
      <c r="B1346" s="20" t="s">
        <v>602</v>
      </c>
      <c r="C1346" s="19" t="s">
        <v>475</v>
      </c>
      <c r="E1346" s="2" t="str">
        <f>IFERROR(__xludf.DUMMYFUNCTION("REGEXREPLACE(A1346,""^Trường\s*"","""")"),"THPT Tĩnh Gia 1")</f>
        <v>THPT Tĩnh Gia 1</v>
      </c>
    </row>
    <row r="1347">
      <c r="A1347" s="19" t="s">
        <v>605</v>
      </c>
      <c r="B1347" s="21" t="s">
        <v>606</v>
      </c>
      <c r="C1347" s="22" t="s">
        <v>475</v>
      </c>
      <c r="E1347" s="2" t="str">
        <f>IFERROR(__xludf.DUMMYFUNCTION("REGEXREPLACE(A1347,""^Trường\s*"","""")"),"Trung tâm GDNN-GDTX Nghi Sơn")</f>
        <v>Trung tâm GDNN-GDTX Nghi Sơn</v>
      </c>
    </row>
    <row r="1348">
      <c r="A1348" s="23" t="s">
        <v>609</v>
      </c>
      <c r="B1348" s="24" t="s">
        <v>610</v>
      </c>
      <c r="C1348" s="25" t="s">
        <v>475</v>
      </c>
      <c r="E1348" s="2" t="str">
        <f>IFERROR(__xludf.DUMMYFUNCTION("REGEXREPLACE(A1348,""^Trường\s*"","""")"),"CĐ nghề Nghi Sơn")</f>
        <v>CĐ nghề Nghi Sơn</v>
      </c>
    </row>
    <row r="1349">
      <c r="A1349" s="19" t="s">
        <v>613</v>
      </c>
      <c r="B1349" s="20" t="s">
        <v>615</v>
      </c>
      <c r="C1349" s="19" t="s">
        <v>550</v>
      </c>
      <c r="E1349" s="2" t="str">
        <f>IFERROR(__xludf.DUMMYFUNCTION("REGEXREPLACE(A1349,""^Trường\s*"","""")"),"THPT Bá Thước")</f>
        <v>THPT Bá Thước</v>
      </c>
    </row>
    <row r="1350">
      <c r="A1350" s="19" t="s">
        <v>622</v>
      </c>
      <c r="B1350" s="21" t="s">
        <v>624</v>
      </c>
      <c r="C1350" s="22" t="s">
        <v>550</v>
      </c>
      <c r="E1350" s="2" t="str">
        <f>IFERROR(__xludf.DUMMYFUNCTION("REGEXREPLACE(A1350,""^Trường\s*"","""")"),"Trung tâm GDNN-GDTX Bá Thước")</f>
        <v>Trung tâm GDNN-GDTX Bá Thước</v>
      </c>
    </row>
    <row r="1351">
      <c r="A1351" s="19" t="s">
        <v>630</v>
      </c>
      <c r="B1351" s="20" t="s">
        <v>633</v>
      </c>
      <c r="C1351" s="19" t="s">
        <v>619</v>
      </c>
      <c r="E1351" s="2" t="str">
        <f>IFERROR(__xludf.DUMMYFUNCTION("REGEXREPLACE(A1351,""^Trường\s*"","""")"),"THPT Tống Duy Tân")</f>
        <v>THPT Tống Duy Tân</v>
      </c>
    </row>
    <row r="1352">
      <c r="A1352" s="19" t="s">
        <v>638</v>
      </c>
      <c r="B1352" s="20" t="s">
        <v>639</v>
      </c>
      <c r="C1352" s="19" t="s">
        <v>642</v>
      </c>
      <c r="E1352" s="2" t="str">
        <f>IFERROR(__xludf.DUMMYFUNCTION("REGEXREPLACE(A1352,""^Trường\s*"","""")"),"THPT Cẩm Thuỷ 2")</f>
        <v>THPT Cẩm Thuỷ 2</v>
      </c>
    </row>
    <row r="1353">
      <c r="A1353" s="19" t="s">
        <v>646</v>
      </c>
      <c r="B1353" s="20" t="s">
        <v>649</v>
      </c>
      <c r="C1353" s="19" t="s">
        <v>652</v>
      </c>
      <c r="E1353" s="2" t="str">
        <f>IFERROR(__xludf.DUMMYFUNCTION("REGEXREPLACE(A1353,""^Trường\s*"","""")"),"THPT Cẩm Thuỷ 3")</f>
        <v>THPT Cẩm Thuỷ 3</v>
      </c>
    </row>
    <row r="1354">
      <c r="A1354" s="19" t="s">
        <v>656</v>
      </c>
      <c r="B1354" s="20" t="s">
        <v>658</v>
      </c>
      <c r="C1354" s="19" t="s">
        <v>663</v>
      </c>
      <c r="E1354" s="2" t="str">
        <f>IFERROR(__xludf.DUMMYFUNCTION("REGEXREPLACE(A1354,""^Trường\s*"","""")"),"THPT Cẩm Thủy 1")</f>
        <v>THPT Cẩm Thủy 1</v>
      </c>
    </row>
    <row r="1355">
      <c r="A1355" s="19" t="s">
        <v>666</v>
      </c>
      <c r="B1355" s="21" t="s">
        <v>669</v>
      </c>
      <c r="C1355" s="22" t="s">
        <v>663</v>
      </c>
      <c r="E1355" s="2" t="str">
        <f>IFERROR(__xludf.DUMMYFUNCTION("REGEXREPLACE(A1355,""^Trường\s*"","""")"),"Trung tâm GDNN-GDTX Cẩm Thủy")</f>
        <v>Trung tâm GDNN-GDTX Cẩm Thủy</v>
      </c>
    </row>
    <row r="1356">
      <c r="A1356" s="19" t="s">
        <v>674</v>
      </c>
      <c r="B1356" s="20" t="s">
        <v>676</v>
      </c>
      <c r="C1356" s="19" t="s">
        <v>679</v>
      </c>
      <c r="E1356" s="2" t="str">
        <f>IFERROR(__xludf.DUMMYFUNCTION("REGEXREPLACE(A1356,""^Trường\s*"","""")"),"THPT Nông Cống 3")</f>
        <v>THPT Nông Cống 3</v>
      </c>
    </row>
    <row r="1357">
      <c r="A1357" s="19" t="s">
        <v>683</v>
      </c>
      <c r="B1357" s="20" t="s">
        <v>686</v>
      </c>
      <c r="C1357" s="19" t="s">
        <v>509</v>
      </c>
      <c r="E1357" s="2" t="str">
        <f>IFERROR(__xludf.DUMMYFUNCTION("REGEXREPLACE(A1357,""^Trường\s*"","""")"),"THPT Hà Văn Mao")</f>
        <v>THPT Hà Văn Mao</v>
      </c>
    </row>
    <row r="1358">
      <c r="A1358" s="19" t="s">
        <v>692</v>
      </c>
      <c r="B1358" s="20" t="s">
        <v>694</v>
      </c>
      <c r="C1358" s="19" t="s">
        <v>695</v>
      </c>
      <c r="E1358" s="2" t="str">
        <f>IFERROR(__xludf.DUMMYFUNCTION("REGEXREPLACE(A1358,""^Trường\s*"","""")"),"THPT Triệu Sơn 5")</f>
        <v>THPT Triệu Sơn 5</v>
      </c>
    </row>
    <row r="1359">
      <c r="A1359" s="19" t="s">
        <v>700</v>
      </c>
      <c r="B1359" s="20" t="s">
        <v>701</v>
      </c>
      <c r="C1359" s="19" t="s">
        <v>703</v>
      </c>
      <c r="E1359" s="2" t="str">
        <f>IFERROR(__xludf.DUMMYFUNCTION("REGEXREPLACE(A1359,""^Trường\s*"","""")"),"THPT Hoàng Lê Kha")</f>
        <v>THPT Hoàng Lê Kha</v>
      </c>
    </row>
    <row r="1360">
      <c r="A1360" s="19" t="s">
        <v>707</v>
      </c>
      <c r="B1360" s="21" t="s">
        <v>708</v>
      </c>
      <c r="C1360" s="22" t="s">
        <v>703</v>
      </c>
      <c r="E1360" s="2" t="str">
        <f>IFERROR(__xludf.DUMMYFUNCTION("REGEXREPLACE(A1360,""^Trường\s*"","""")"),"Trung Tâm GDNN-GDTX Hà Trung")</f>
        <v>Trung Tâm GDNN-GDTX Hà Trung</v>
      </c>
    </row>
    <row r="1361">
      <c r="A1361" s="19" t="s">
        <v>712</v>
      </c>
      <c r="B1361" s="20" t="s">
        <v>714</v>
      </c>
      <c r="C1361" s="19" t="s">
        <v>716</v>
      </c>
      <c r="E1361" s="2" t="str">
        <f>IFERROR(__xludf.DUMMYFUNCTION("REGEXREPLACE(A1361,""^Trường\s*"","""")"),"THPT Hậu Lộc 2")</f>
        <v>THPT Hậu Lộc 2</v>
      </c>
    </row>
    <row r="1362">
      <c r="A1362" s="19" t="s">
        <v>719</v>
      </c>
      <c r="B1362" s="21" t="s">
        <v>720</v>
      </c>
      <c r="C1362" s="22" t="s">
        <v>716</v>
      </c>
      <c r="E1362" s="2" t="str">
        <f>IFERROR(__xludf.DUMMYFUNCTION("REGEXREPLACE(A1362,""^Trường\s*"","""")"),"Trung tâm GDNN-GDTX Hậu Lộc")</f>
        <v>Trung tâm GDNN-GDTX Hậu Lộc</v>
      </c>
    </row>
    <row r="1363">
      <c r="A1363" s="19" t="s">
        <v>724</v>
      </c>
      <c r="B1363" s="20" t="s">
        <v>727</v>
      </c>
      <c r="C1363" s="19" t="s">
        <v>729</v>
      </c>
      <c r="E1363" s="2" t="str">
        <f>IFERROR(__xludf.DUMMYFUNCTION("REGEXREPLACE(A1363,""^Trường\s*"","""")"),"THPT Mai Anh Tuấn")</f>
        <v>THPT Mai Anh Tuấn</v>
      </c>
    </row>
    <row r="1364">
      <c r="A1364" s="19" t="s">
        <v>736</v>
      </c>
      <c r="B1364" s="20" t="s">
        <v>737</v>
      </c>
      <c r="C1364" s="19" t="s">
        <v>738</v>
      </c>
      <c r="E1364" s="2" t="str">
        <f>IFERROR(__xludf.DUMMYFUNCTION("REGEXREPLACE(A1364,""^Trường\s*"","""")"),"THPT Hậu Lộc I")</f>
        <v>THPT Hậu Lộc I</v>
      </c>
    </row>
    <row r="1365">
      <c r="A1365" s="19" t="s">
        <v>8</v>
      </c>
      <c r="B1365" s="20" t="s">
        <v>9</v>
      </c>
      <c r="C1365" s="19" t="s">
        <v>10</v>
      </c>
      <c r="E1365" s="2" t="str">
        <f>IFERROR(__xludf.DUMMYFUNCTION("REGEXREPLACE(A1365,""^Trường\s*"","""")"),"TH, THCS&amp;THPT Delta")</f>
        <v>TH, THCS&amp;THPT Delta</v>
      </c>
    </row>
    <row r="1366">
      <c r="A1366" s="19" t="s">
        <v>748</v>
      </c>
      <c r="B1366" s="20" t="s">
        <v>749</v>
      </c>
      <c r="C1366" s="19" t="s">
        <v>10</v>
      </c>
      <c r="E1366" s="2" t="str">
        <f>IFERROR(__xludf.DUMMYFUNCTION("REGEXREPLACE(A1366,""^Trường\s*"","""")"),"THPT Lương Đắc Bằng")</f>
        <v>THPT Lương Đắc Bằng</v>
      </c>
    </row>
    <row r="1367">
      <c r="A1367" s="19" t="s">
        <v>753</v>
      </c>
      <c r="B1367" s="21" t="s">
        <v>755</v>
      </c>
      <c r="C1367" s="22" t="s">
        <v>10</v>
      </c>
      <c r="E1367" s="2" t="str">
        <f>IFERROR(__xludf.DUMMYFUNCTION("REGEXREPLACE(A1367,""^Trường\s*"","""")"),"Trung tâm GDNN - GDTX Hoằng Hoá")</f>
        <v>Trung tâm GDNN - GDTX Hoằng Hoá</v>
      </c>
    </row>
    <row r="1368">
      <c r="A1368" s="19" t="s">
        <v>759</v>
      </c>
      <c r="B1368" s="20" t="s">
        <v>761</v>
      </c>
      <c r="C1368" s="19" t="s">
        <v>762</v>
      </c>
      <c r="E1368" s="2" t="str">
        <f>IFERROR(__xludf.DUMMYFUNCTION("REGEXREPLACE(A1368,""^Trường\s*"","""")"),"THPT Hoằng Hóa 4")</f>
        <v>THPT Hoằng Hóa 4</v>
      </c>
    </row>
    <row r="1369">
      <c r="A1369" s="19" t="s">
        <v>765</v>
      </c>
      <c r="B1369" s="20" t="s">
        <v>767</v>
      </c>
      <c r="C1369" s="19" t="s">
        <v>773</v>
      </c>
      <c r="E1369" s="2" t="str">
        <f>IFERROR(__xludf.DUMMYFUNCTION("REGEXREPLACE(A1369,""^Trường\s*"","""")"),"THPT Hoằng Hoá 2")</f>
        <v>THPT Hoằng Hoá 2</v>
      </c>
    </row>
    <row r="1370">
      <c r="A1370" s="19" t="s">
        <v>779</v>
      </c>
      <c r="B1370" s="20" t="s">
        <v>780</v>
      </c>
      <c r="C1370" s="19" t="s">
        <v>781</v>
      </c>
      <c r="E1370" s="2" t="str">
        <f>IFERROR(__xludf.DUMMYFUNCTION("REGEXREPLACE(A1370,""^Trường\s*"","""")"),"THPT Hoằng Hóa 3")</f>
        <v>THPT Hoằng Hóa 3</v>
      </c>
    </row>
    <row r="1371">
      <c r="A1371" s="19" t="s">
        <v>785</v>
      </c>
      <c r="B1371" s="20" t="s">
        <v>788</v>
      </c>
      <c r="C1371" s="19" t="s">
        <v>781</v>
      </c>
      <c r="E1371" s="2" t="str">
        <f>IFERROR(__xludf.DUMMYFUNCTION("REGEXREPLACE(A1371,""^Trường\s*"","""")"),"THPT Hoằng Hóa")</f>
        <v>THPT Hoằng Hóa</v>
      </c>
    </row>
    <row r="1372">
      <c r="A1372" s="19" t="s">
        <v>792</v>
      </c>
      <c r="B1372" s="20" t="s">
        <v>794</v>
      </c>
      <c r="C1372" s="19" t="s">
        <v>795</v>
      </c>
      <c r="E1372" s="2" t="str">
        <f>IFERROR(__xludf.DUMMYFUNCTION("REGEXREPLACE(A1372,""^Trường\s*"","""")"),"THPT Hà Trung")</f>
        <v>THPT Hà Trung</v>
      </c>
    </row>
    <row r="1373">
      <c r="A1373" s="19" t="s">
        <v>796</v>
      </c>
      <c r="B1373" s="20" t="s">
        <v>798</v>
      </c>
      <c r="C1373" s="19" t="s">
        <v>386</v>
      </c>
      <c r="E1373" s="2" t="str">
        <f>IFERROR(__xludf.DUMMYFUNCTION("REGEXREPLACE(A1373,""^Trường\s*"","""")"),"THPT Quan Hoá")</f>
        <v>THPT Quan Hoá</v>
      </c>
    </row>
    <row r="1374">
      <c r="A1374" s="19" t="s">
        <v>804</v>
      </c>
      <c r="B1374" s="21" t="s">
        <v>807</v>
      </c>
      <c r="C1374" s="22" t="s">
        <v>386</v>
      </c>
      <c r="E1374" s="2" t="str">
        <f>IFERROR(__xludf.DUMMYFUNCTION("REGEXREPLACE(A1374,""^Trường\s*"","""")"),"Trung tâm GDNN-GDTX Quan Hoá")</f>
        <v>Trung tâm GDNN-GDTX Quan Hoá</v>
      </c>
    </row>
    <row r="1375">
      <c r="A1375" s="19" t="s">
        <v>812</v>
      </c>
      <c r="B1375" s="20" t="s">
        <v>813</v>
      </c>
      <c r="C1375" s="19" t="s">
        <v>816</v>
      </c>
      <c r="E1375" s="2" t="str">
        <f>IFERROR(__xludf.DUMMYFUNCTION("REGEXREPLACE(A1375,""^Trường\s*"","""")"),"THPT Triệu Sơn 3")</f>
        <v>THPT Triệu Sơn 3</v>
      </c>
    </row>
    <row r="1376">
      <c r="A1376" s="19" t="s">
        <v>819</v>
      </c>
      <c r="B1376" s="20" t="s">
        <v>821</v>
      </c>
      <c r="C1376" s="19" t="s">
        <v>824</v>
      </c>
      <c r="E1376" s="2" t="str">
        <f>IFERROR(__xludf.DUMMYFUNCTION("REGEXREPLACE(A1376,""^Trường\s*"","""")"),"THPT Lê Lai")</f>
        <v>THPT Lê Lai</v>
      </c>
    </row>
    <row r="1377">
      <c r="A1377" s="19" t="s">
        <v>827</v>
      </c>
      <c r="B1377" s="20" t="s">
        <v>829</v>
      </c>
      <c r="C1377" s="19" t="s">
        <v>830</v>
      </c>
      <c r="E1377" s="2" t="str">
        <f>IFERROR(__xludf.DUMMYFUNCTION("REGEXREPLACE(A1377,""^Trường\s*"","""")"),"THPT Thạch Thành 1")</f>
        <v>THPT Thạch Thành 1</v>
      </c>
    </row>
    <row r="1378">
      <c r="A1378" s="19" t="s">
        <v>837</v>
      </c>
      <c r="B1378" s="21" t="s">
        <v>838</v>
      </c>
      <c r="C1378" s="22" t="s">
        <v>830</v>
      </c>
      <c r="E1378" s="2" t="str">
        <f>IFERROR(__xludf.DUMMYFUNCTION("REGEXREPLACE(A1378,""^Trường\s*"","""")"),"TC nghề Thạch Thành")</f>
        <v>TC nghề Thạch Thành</v>
      </c>
    </row>
    <row r="1379">
      <c r="A1379" s="19" t="s">
        <v>844</v>
      </c>
      <c r="B1379" s="20" t="s">
        <v>845</v>
      </c>
      <c r="C1379" s="19" t="s">
        <v>847</v>
      </c>
      <c r="E1379" s="2" t="str">
        <f>IFERROR(__xludf.DUMMYFUNCTION("REGEXREPLACE(A1379,""^Trường\s*"","""")"),"THPT Lam Kinh")</f>
        <v>THPT Lam Kinh</v>
      </c>
    </row>
    <row r="1380">
      <c r="A1380" s="19" t="s">
        <v>851</v>
      </c>
      <c r="B1380" s="20" t="s">
        <v>854</v>
      </c>
      <c r="C1380" s="19" t="s">
        <v>847</v>
      </c>
      <c r="E1380" s="2" t="str">
        <f>IFERROR(__xludf.DUMMYFUNCTION("REGEXREPLACE(A1380,""^Trường\s*"","""")"),"THPT Thọ Xuân 5")</f>
        <v>THPT Thọ Xuân 5</v>
      </c>
    </row>
    <row r="1381">
      <c r="A1381" s="19" t="s">
        <v>859</v>
      </c>
      <c r="B1381" s="20" t="s">
        <v>863</v>
      </c>
      <c r="C1381" s="19" t="s">
        <v>726</v>
      </c>
      <c r="E1381" s="2" t="str">
        <f>IFERROR(__xludf.DUMMYFUNCTION("REGEXREPLACE(A1381,""^Trường\s*"","""")"),"THPT Lang Chánh")</f>
        <v>THPT Lang Chánh</v>
      </c>
    </row>
    <row r="1382">
      <c r="A1382" s="19" t="s">
        <v>868</v>
      </c>
      <c r="B1382" s="21" t="s">
        <v>870</v>
      </c>
      <c r="C1382" s="22" t="s">
        <v>726</v>
      </c>
      <c r="E1382" s="2" t="str">
        <f>IFERROR(__xludf.DUMMYFUNCTION("REGEXREPLACE(A1382,""^Trường\s*"","""")"),"Trung tâm GDNN-GDTX Lang Chánh")</f>
        <v>Trung tâm GDNN-GDTX Lang Chánh</v>
      </c>
    </row>
    <row r="1383">
      <c r="A1383" s="19" t="s">
        <v>874</v>
      </c>
      <c r="B1383" s="20" t="s">
        <v>878</v>
      </c>
      <c r="C1383" s="19" t="s">
        <v>879</v>
      </c>
      <c r="E1383" s="2" t="str">
        <f>IFERROR(__xludf.DUMMYFUNCTION("REGEXREPLACE(A1383,""^Trường\s*"","""")"),"THPT Thường Xuân 2")</f>
        <v>THPT Thường Xuân 2</v>
      </c>
    </row>
    <row r="1384">
      <c r="A1384" s="19" t="s">
        <v>19</v>
      </c>
      <c r="B1384" s="20" t="s">
        <v>20</v>
      </c>
      <c r="C1384" s="19" t="s">
        <v>21</v>
      </c>
      <c r="E1384" s="2" t="str">
        <f>IFERROR(__xludf.DUMMYFUNCTION("REGEXREPLACE(A1384,""^Trường\s*"","""")"),"TH, THCS&amp;THPT Nobel School III")</f>
        <v>TH, THCS&amp;THPT Nobel School III</v>
      </c>
    </row>
    <row r="1385">
      <c r="A1385" s="19" t="s">
        <v>892</v>
      </c>
      <c r="B1385" s="20" t="s">
        <v>894</v>
      </c>
      <c r="C1385" s="19" t="s">
        <v>21</v>
      </c>
      <c r="E1385" s="2" t="str">
        <f>IFERROR(__xludf.DUMMYFUNCTION("REGEXREPLACE(A1385,""^Trường\s*"","""")"),"THPT Quảng Xương 1")</f>
        <v>THPT Quảng Xương 1</v>
      </c>
    </row>
    <row r="1386">
      <c r="A1386" s="19" t="s">
        <v>900</v>
      </c>
      <c r="B1386" s="21" t="s">
        <v>902</v>
      </c>
      <c r="C1386" s="22" t="s">
        <v>21</v>
      </c>
      <c r="E1386" s="2" t="str">
        <f>IFERROR(__xludf.DUMMYFUNCTION("REGEXREPLACE(A1386,""^Trường\s*"","""")"),"Trung tâm GDNN-GDTX Quảng Xương")</f>
        <v>Trung tâm GDNN-GDTX Quảng Xương</v>
      </c>
    </row>
    <row r="1387">
      <c r="A1387" s="19" t="s">
        <v>910</v>
      </c>
      <c r="B1387" s="21" t="s">
        <v>912</v>
      </c>
      <c r="C1387" s="22" t="s">
        <v>852</v>
      </c>
      <c r="E1387" s="2" t="str">
        <f>IFERROR(__xludf.DUMMYFUNCTION("REGEXREPLACE(A1387,""^Trường\s*"","""")"),"TC nghề Miền núi TH")</f>
        <v>TC nghề Miền núi TH</v>
      </c>
    </row>
    <row r="1388">
      <c r="A1388" s="19" t="s">
        <v>918</v>
      </c>
      <c r="B1388" s="20" t="s">
        <v>919</v>
      </c>
      <c r="C1388" s="19" t="s">
        <v>268</v>
      </c>
      <c r="E1388" s="2" t="str">
        <f>IFERROR(__xludf.DUMMYFUNCTION("REGEXREPLACE(A1388,""^Trường\s*"","""")"),"THPT Mường Lát")</f>
        <v>THPT Mường Lát</v>
      </c>
    </row>
    <row r="1389">
      <c r="A1389" s="19" t="s">
        <v>926</v>
      </c>
      <c r="B1389" s="21" t="s">
        <v>928</v>
      </c>
      <c r="C1389" s="22" t="s">
        <v>268</v>
      </c>
      <c r="E1389" s="2" t="str">
        <f>IFERROR(__xludf.DUMMYFUNCTION("REGEXREPLACE(A1389,""^Trường\s*"","""")"),"Trung tâm GDNN-GDTX Mường Lát")</f>
        <v>Trung tâm GDNN-GDTX Mường Lát</v>
      </c>
    </row>
    <row r="1390">
      <c r="A1390" s="19" t="s">
        <v>48</v>
      </c>
      <c r="B1390" s="20" t="s">
        <v>50</v>
      </c>
      <c r="C1390" s="19" t="s">
        <v>52</v>
      </c>
      <c r="E1390" s="2" t="str">
        <f>IFERROR(__xludf.DUMMYFUNCTION("REGEXREPLACE(A1390,""^Trường\s*"","""")"),"THCS&amp;THPT Quan Sơn")</f>
        <v>THCS&amp;THPT Quan Sơn</v>
      </c>
    </row>
    <row r="1391">
      <c r="A1391" s="19" t="s">
        <v>941</v>
      </c>
      <c r="B1391" s="20" t="s">
        <v>942</v>
      </c>
      <c r="C1391" s="19" t="s">
        <v>944</v>
      </c>
      <c r="E1391" s="2" t="str">
        <f>IFERROR(__xludf.DUMMYFUNCTION("REGEXREPLACE(A1391,""^Trường\s*"","""")"),"THPT Ba Đình")</f>
        <v>THPT Ba Đình</v>
      </c>
    </row>
    <row r="1392">
      <c r="A1392" s="19" t="s">
        <v>949</v>
      </c>
      <c r="B1392" s="20" t="s">
        <v>950</v>
      </c>
      <c r="C1392" s="19" t="s">
        <v>944</v>
      </c>
      <c r="E1392" s="2" t="str">
        <f>IFERROR(__xludf.DUMMYFUNCTION("REGEXREPLACE(A1392,""^Trường\s*"","""")"),"THPT Nga Sơn")</f>
        <v>THPT Nga Sơn</v>
      </c>
    </row>
    <row r="1393">
      <c r="A1393" s="19" t="s">
        <v>955</v>
      </c>
      <c r="B1393" s="21" t="s">
        <v>958</v>
      </c>
      <c r="C1393" s="22" t="s">
        <v>944</v>
      </c>
      <c r="E1393" s="2" t="str">
        <f>IFERROR(__xludf.DUMMYFUNCTION("REGEXREPLACE(A1393,""^Trường\s*"","""")"),"TC nghề Nga Sơn")</f>
        <v>TC nghề Nga Sơn</v>
      </c>
    </row>
    <row r="1394">
      <c r="A1394" s="19" t="s">
        <v>964</v>
      </c>
      <c r="B1394" s="20" t="s">
        <v>965</v>
      </c>
      <c r="C1394" s="19" t="s">
        <v>843</v>
      </c>
      <c r="E1394" s="2" t="str">
        <f>IFERROR(__xludf.DUMMYFUNCTION("REGEXREPLACE(A1394,""^Trường\s*"","""")"),"THPT Ngọc Lặc")</f>
        <v>THPT Ngọc Lặc</v>
      </c>
    </row>
    <row r="1395">
      <c r="A1395" s="19" t="s">
        <v>972</v>
      </c>
      <c r="B1395" s="20" t="s">
        <v>973</v>
      </c>
      <c r="C1395" s="19" t="s">
        <v>843</v>
      </c>
      <c r="E1395" s="2" t="str">
        <f>IFERROR(__xludf.DUMMYFUNCTION("REGEXREPLACE(A1395,""^Trường\s*"","""")"),"THPT DTNT Ngọc Lặc")</f>
        <v>THPT DTNT Ngọc Lặc</v>
      </c>
    </row>
    <row r="1396">
      <c r="A1396" s="19" t="s">
        <v>979</v>
      </c>
      <c r="B1396" s="21" t="s">
        <v>982</v>
      </c>
      <c r="C1396" s="22" t="s">
        <v>843</v>
      </c>
      <c r="E1396" s="2" t="str">
        <f>IFERROR(__xludf.DUMMYFUNCTION("REGEXREPLACE(A1396,""^Trường\s*"","""")"),"Trung tâm GDNN-GDTX Ngọc Lặc")</f>
        <v>Trung tâm GDNN-GDTX Ngọc Lặc</v>
      </c>
    </row>
    <row r="1397">
      <c r="A1397" s="19" t="s">
        <v>987</v>
      </c>
      <c r="B1397" s="20" t="s">
        <v>988</v>
      </c>
      <c r="C1397" s="19" t="s">
        <v>836</v>
      </c>
      <c r="E1397" s="2" t="str">
        <f>IFERROR(__xludf.DUMMYFUNCTION("REGEXREPLACE(A1397,""^Trường\s*"","""")"),"THPT Bắc Sơn")</f>
        <v>THPT Bắc Sơn</v>
      </c>
    </row>
    <row r="1398">
      <c r="A1398" s="19" t="s">
        <v>995</v>
      </c>
      <c r="B1398" s="20" t="s">
        <v>996</v>
      </c>
      <c r="C1398" s="19" t="s">
        <v>998</v>
      </c>
      <c r="E1398" s="2" t="str">
        <f>IFERROR(__xludf.DUMMYFUNCTION("REGEXREPLACE(A1398,""^Trường\s*"","""")"),"THPT Như Thanh")</f>
        <v>THPT Như Thanh</v>
      </c>
    </row>
    <row r="1399">
      <c r="A1399" s="19" t="s">
        <v>1003</v>
      </c>
      <c r="B1399" s="21" t="s">
        <v>1006</v>
      </c>
      <c r="C1399" s="22" t="s">
        <v>998</v>
      </c>
      <c r="E1399" s="2" t="str">
        <f>IFERROR(__xludf.DUMMYFUNCTION("REGEXREPLACE(A1399,""^Trường\s*"","""")"),"Trung tâm GDNN - GDTX NHƯ THANH")</f>
        <v>Trung tâm GDNN - GDTX NHƯ THANH</v>
      </c>
    </row>
    <row r="1400">
      <c r="A1400" s="19" t="s">
        <v>1011</v>
      </c>
      <c r="B1400" s="20" t="s">
        <v>1012</v>
      </c>
      <c r="C1400" s="19" t="s">
        <v>1014</v>
      </c>
      <c r="E1400" s="2" t="str">
        <f>IFERROR(__xludf.DUMMYFUNCTION("REGEXREPLACE(A1400,""^Trường\s*"","""")"),"THPT Như Xuân")</f>
        <v>THPT Như Xuân</v>
      </c>
    </row>
    <row r="1401">
      <c r="A1401" s="19" t="s">
        <v>1017</v>
      </c>
      <c r="B1401" s="21" t="s">
        <v>1019</v>
      </c>
      <c r="C1401" s="22" t="s">
        <v>1014</v>
      </c>
      <c r="E1401" s="2" t="str">
        <f>IFERROR(__xludf.DUMMYFUNCTION("REGEXREPLACE(A1401,""^Trường\s*"","""")"),"Trung Tâm GDNN-GDTX Như Xuân")</f>
        <v>Trung Tâm GDNN-GDTX Như Xuân</v>
      </c>
    </row>
    <row r="1402">
      <c r="A1402" s="19" t="s">
        <v>1022</v>
      </c>
      <c r="B1402" s="20" t="s">
        <v>1023</v>
      </c>
      <c r="C1402" s="19" t="s">
        <v>1025</v>
      </c>
      <c r="E1402" s="2" t="str">
        <f>IFERROR(__xludf.DUMMYFUNCTION("REGEXREPLACE(A1402,""^Trường\s*"","""")"),"THPT Nông Cống 1")</f>
        <v>THPT Nông Cống 1</v>
      </c>
    </row>
    <row r="1403">
      <c r="A1403" s="19" t="s">
        <v>1029</v>
      </c>
      <c r="B1403" s="21" t="s">
        <v>1031</v>
      </c>
      <c r="C1403" s="22" t="s">
        <v>1025</v>
      </c>
      <c r="E1403" s="2" t="str">
        <f>IFERROR(__xludf.DUMMYFUNCTION("REGEXREPLACE(A1403,""^Trường\s*"","""")"),"Trung tâm GDNN - GDTX huyện Nông Cống")</f>
        <v>Trung tâm GDNN - GDTX huyện Nông Cống</v>
      </c>
    </row>
    <row r="1404">
      <c r="A1404" s="19" t="s">
        <v>35</v>
      </c>
      <c r="B1404" s="20" t="s">
        <v>36</v>
      </c>
      <c r="C1404" s="19" t="s">
        <v>38</v>
      </c>
      <c r="E1404" s="2" t="str">
        <f>IFERROR(__xludf.DUMMYFUNCTION("REGEXREPLACE(A1404,""^Trường\s*"","""")"),"THCS&amp;THPT Bá Thước")</f>
        <v>THCS&amp;THPT Bá Thước</v>
      </c>
    </row>
    <row r="1405">
      <c r="A1405" s="19" t="s">
        <v>1036</v>
      </c>
      <c r="B1405" s="20" t="s">
        <v>1037</v>
      </c>
      <c r="C1405" s="19" t="s">
        <v>621</v>
      </c>
      <c r="E1405" s="2" t="str">
        <f>IFERROR(__xludf.DUMMYFUNCTION("REGEXREPLACE(A1405,""^Trường\s*"","""")"),"THPT Quan Sơn")</f>
        <v>THPT Quan Sơn</v>
      </c>
    </row>
    <row r="1406">
      <c r="A1406" s="19" t="s">
        <v>1041</v>
      </c>
      <c r="B1406" s="21" t="s">
        <v>1043</v>
      </c>
      <c r="C1406" s="22" t="s">
        <v>621</v>
      </c>
      <c r="E1406" s="2" t="str">
        <f>IFERROR(__xludf.DUMMYFUNCTION("REGEXREPLACE(A1406,""^Trường\s*"","""")"),"Trung tâm GDNN-GDTX Quan Sơn")</f>
        <v>Trung tâm GDNN-GDTX Quan Sơn</v>
      </c>
    </row>
    <row r="1407">
      <c r="A1407" s="19" t="s">
        <v>1046</v>
      </c>
      <c r="B1407" s="20" t="s">
        <v>1048</v>
      </c>
      <c r="C1407" s="19" t="s">
        <v>1049</v>
      </c>
      <c r="E1407" s="2" t="str">
        <f>IFERROR(__xludf.DUMMYFUNCTION("REGEXREPLACE(A1407,""^Trường\s*"","""")"),"THPT Đặng Thai Mai")</f>
        <v>THPT Đặng Thai Mai</v>
      </c>
    </row>
    <row r="1408">
      <c r="A1408" s="19" t="s">
        <v>1053</v>
      </c>
      <c r="B1408" s="20" t="s">
        <v>1056</v>
      </c>
      <c r="C1408" s="19" t="s">
        <v>1057</v>
      </c>
      <c r="E1408" s="2" t="str">
        <f>IFERROR(__xludf.DUMMYFUNCTION("REGEXREPLACE(A1408,""^Trường\s*"","""")"),"THPT Quảng Xương 2")</f>
        <v>THPT Quảng Xương 2</v>
      </c>
    </row>
    <row r="1409">
      <c r="A1409" s="19" t="s">
        <v>1061</v>
      </c>
      <c r="B1409" s="21" t="s">
        <v>1063</v>
      </c>
      <c r="C1409" s="22" t="s">
        <v>1066</v>
      </c>
      <c r="E1409" s="2" t="str">
        <f>IFERROR(__xludf.DUMMYFUNCTION("REGEXREPLACE(A1409,""^Trường\s*"","""")"),"TC Công nghệ Xanh")</f>
        <v>TC Công nghệ Xanh</v>
      </c>
    </row>
    <row r="1410">
      <c r="A1410" s="19" t="s">
        <v>1070</v>
      </c>
      <c r="B1410" s="20" t="s">
        <v>1071</v>
      </c>
      <c r="C1410" s="19" t="s">
        <v>1074</v>
      </c>
      <c r="E1410" s="2" t="str">
        <f>IFERROR(__xludf.DUMMYFUNCTION("REGEXREPLACE(A1410,""^Trường\s*"","""")"),"THPT Triệu Sơn 2")</f>
        <v>THPT Triệu Sơn 2</v>
      </c>
    </row>
    <row r="1411">
      <c r="A1411" s="19" t="s">
        <v>1078</v>
      </c>
      <c r="B1411" s="20" t="s">
        <v>1082</v>
      </c>
      <c r="C1411" s="19" t="s">
        <v>1084</v>
      </c>
      <c r="E1411" s="2" t="str">
        <f>IFERROR(__xludf.DUMMYFUNCTION("REGEXREPLACE(A1411,""^Trường\s*"","""")"),"THPT Thạch Thành 2")</f>
        <v>THPT Thạch Thành 2</v>
      </c>
    </row>
    <row r="1412">
      <c r="A1412" s="19" t="s">
        <v>1094</v>
      </c>
      <c r="B1412" s="20" t="s">
        <v>1095</v>
      </c>
      <c r="C1412" s="19" t="s">
        <v>1098</v>
      </c>
      <c r="E1412" s="2" t="str">
        <f>IFERROR(__xludf.DUMMYFUNCTION("REGEXREPLACE(A1412,""^Trường\s*"","""")"),"THPT Thạch Thành 4")</f>
        <v>THPT Thạch Thành 4</v>
      </c>
    </row>
    <row r="1413">
      <c r="A1413" s="19" t="s">
        <v>1103</v>
      </c>
      <c r="B1413" s="20" t="s">
        <v>1105</v>
      </c>
      <c r="C1413" s="19" t="s">
        <v>1107</v>
      </c>
      <c r="E1413" s="2" t="str">
        <f>IFERROR(__xludf.DUMMYFUNCTION("REGEXREPLACE(A1413,""^Trường\s*"","""")"),"THPT Nông Cống 2")</f>
        <v>THPT Nông Cống 2</v>
      </c>
    </row>
    <row r="1414">
      <c r="A1414" s="19" t="s">
        <v>1113</v>
      </c>
      <c r="B1414" s="20" t="s">
        <v>1115</v>
      </c>
      <c r="C1414" s="19" t="s">
        <v>1116</v>
      </c>
      <c r="E1414" s="2" t="str">
        <f>IFERROR(__xludf.DUMMYFUNCTION("REGEXREPLACE(A1414,""^Trường\s*"","""")"),"THPT Như Thanh 2")</f>
        <v>THPT Như Thanh 2</v>
      </c>
    </row>
    <row r="1415">
      <c r="A1415" s="19" t="s">
        <v>65</v>
      </c>
      <c r="B1415" s="20" t="s">
        <v>1123</v>
      </c>
      <c r="C1415" s="19" t="s">
        <v>67</v>
      </c>
      <c r="E1415" s="2" t="str">
        <f>IFERROR(__xludf.DUMMYFUNCTION("REGEXREPLACE(A1415,""^Trường\s*"","""")"),"THCS&amp;THPT Như Xuân")</f>
        <v>THCS&amp;THPT Như Xuân</v>
      </c>
    </row>
    <row r="1416">
      <c r="A1416" s="27" t="s">
        <v>1131</v>
      </c>
      <c r="B1416" s="28" t="s">
        <v>1142</v>
      </c>
      <c r="C1416" s="27" t="s">
        <v>378</v>
      </c>
      <c r="E1416" s="2" t="str">
        <f>IFERROR(__xludf.DUMMYFUNCTION("REGEXREPLACE(A1416,""^Trường\s*"","""")"),"THCS&amp;THPT Quan Hóa")</f>
        <v>THCS&amp;THPT Quan Hóa</v>
      </c>
    </row>
    <row r="1417">
      <c r="A1417" s="19" t="s">
        <v>4</v>
      </c>
      <c r="B1417" s="20" t="s">
        <v>5</v>
      </c>
      <c r="C1417" s="19" t="s">
        <v>7</v>
      </c>
      <c r="E1417" s="2" t="str">
        <f>IFERROR(__xludf.DUMMYFUNCTION("REGEXREPLACE(A1417,""^Trường\s*"","""")"),"Tiểu học, THCS&amp;THPT Nobel School V")</f>
        <v>Tiểu học, THCS&amp;THPT Nobel School V</v>
      </c>
    </row>
    <row r="1418">
      <c r="A1418" s="19" t="s">
        <v>1159</v>
      </c>
      <c r="B1418" s="20" t="s">
        <v>1161</v>
      </c>
      <c r="C1418" s="19" t="s">
        <v>7</v>
      </c>
      <c r="E1418" s="2" t="str">
        <f>IFERROR(__xludf.DUMMYFUNCTION("REGEXREPLACE(A1418,""^Trường\s*"","""")"),"THPT Thiệu Hóa")</f>
        <v>THPT Thiệu Hóa</v>
      </c>
    </row>
    <row r="1419">
      <c r="A1419" s="19" t="s">
        <v>1167</v>
      </c>
      <c r="B1419" s="21" t="s">
        <v>1170</v>
      </c>
      <c r="C1419" s="22" t="s">
        <v>7</v>
      </c>
      <c r="E1419" s="2" t="str">
        <f>IFERROR(__xludf.DUMMYFUNCTION("REGEXREPLACE(A1419,""^Trường\s*"","""")"),"Trung tâm GDNN- GDTX Thiệu Hóa")</f>
        <v>Trung tâm GDNN- GDTX Thiệu Hóa</v>
      </c>
    </row>
    <row r="1420">
      <c r="A1420" s="19" t="s">
        <v>1176</v>
      </c>
      <c r="B1420" s="20" t="s">
        <v>1179</v>
      </c>
      <c r="C1420" s="19" t="s">
        <v>1181</v>
      </c>
      <c r="E1420" s="2" t="str">
        <f>IFERROR(__xludf.DUMMYFUNCTION("REGEXREPLACE(A1420,""^Trường\s*"","""")"),"THPT Nguyễn Quán Nho")</f>
        <v>THPT Nguyễn Quán Nho</v>
      </c>
    </row>
    <row r="1421">
      <c r="A1421" s="19" t="s">
        <v>1185</v>
      </c>
      <c r="B1421" s="20" t="s">
        <v>1187</v>
      </c>
      <c r="C1421" s="19" t="s">
        <v>1190</v>
      </c>
      <c r="E1421" s="2" t="str">
        <f>IFERROR(__xludf.DUMMYFUNCTION("REGEXREPLACE(A1421,""^Trường\s*"","""")"),"THPT Lê Văn Hưu")</f>
        <v>THPT Lê Văn Hưu</v>
      </c>
    </row>
    <row r="1422">
      <c r="A1422" s="19" t="s">
        <v>1194</v>
      </c>
      <c r="B1422" s="20" t="s">
        <v>1196</v>
      </c>
      <c r="C1422" s="19" t="s">
        <v>1199</v>
      </c>
      <c r="E1422" s="2" t="str">
        <f>IFERROR(__xludf.DUMMYFUNCTION("REGEXREPLACE(A1422,""^Trường\s*"","""")"),"THPT Thọ Xuân 4")</f>
        <v>THPT Thọ Xuân 4</v>
      </c>
    </row>
    <row r="1423">
      <c r="A1423" s="19" t="s">
        <v>1204</v>
      </c>
      <c r="B1423" s="20" t="s">
        <v>1206</v>
      </c>
      <c r="C1423" s="19" t="s">
        <v>1208</v>
      </c>
      <c r="E1423" s="2" t="str">
        <f>IFERROR(__xludf.DUMMYFUNCTION("REGEXREPLACE(A1423,""^Trường\s*"","""")"),"THPT Triệu Sơn 4")</f>
        <v>THPT Triệu Sơn 4</v>
      </c>
    </row>
    <row r="1424">
      <c r="A1424" s="19" t="s">
        <v>1213</v>
      </c>
      <c r="B1424" s="20" t="s">
        <v>1216</v>
      </c>
      <c r="C1424" s="19" t="s">
        <v>1217</v>
      </c>
      <c r="E1424" s="2" t="str">
        <f>IFERROR(__xludf.DUMMYFUNCTION("REGEXREPLACE(A1424,""^Trường\s*"","""")"),"THPT Lê Lợi")</f>
        <v>THPT Lê Lợi</v>
      </c>
    </row>
    <row r="1425">
      <c r="A1425" s="19" t="s">
        <v>1221</v>
      </c>
      <c r="B1425" s="21" t="s">
        <v>1224</v>
      </c>
      <c r="C1425" s="22" t="s">
        <v>1217</v>
      </c>
      <c r="E1425" s="2" t="str">
        <f>IFERROR(__xludf.DUMMYFUNCTION("REGEXREPLACE(A1425,""^Trường\s*"","""")"),"Trung tâm GDNN-GDTX Thọ Xuân")</f>
        <v>Trung tâm GDNN-GDTX Thọ Xuân</v>
      </c>
    </row>
    <row r="1426">
      <c r="A1426" s="19" t="s">
        <v>1229</v>
      </c>
      <c r="B1426" s="20" t="s">
        <v>1232</v>
      </c>
      <c r="C1426" s="19" t="s">
        <v>1233</v>
      </c>
      <c r="E1426" s="2" t="str">
        <f>IFERROR(__xludf.DUMMYFUNCTION("REGEXREPLACE(A1426,""^Trường\s*"","""")"),"THPT Cầm Bá Thước")</f>
        <v>THPT Cầm Bá Thước</v>
      </c>
    </row>
    <row r="1427">
      <c r="A1427" s="19" t="s">
        <v>1238</v>
      </c>
      <c r="B1427" s="21" t="s">
        <v>1239</v>
      </c>
      <c r="C1427" s="22" t="s">
        <v>1233</v>
      </c>
      <c r="E1427" s="2" t="str">
        <f>IFERROR(__xludf.DUMMYFUNCTION("REGEXREPLACE(A1427,""^Trường\s*"","""")"),"Trung Tâm GDNN - GDTX Thường Xuân")</f>
        <v>Trung Tâm GDNN - GDTX Thường Xuân</v>
      </c>
    </row>
    <row r="1428">
      <c r="A1428" s="19" t="s">
        <v>1244</v>
      </c>
      <c r="B1428" s="20" t="s">
        <v>1246</v>
      </c>
      <c r="C1428" s="19" t="s">
        <v>1248</v>
      </c>
      <c r="E1428" s="2" t="str">
        <f>IFERROR(__xludf.DUMMYFUNCTION("REGEXREPLACE(A1428,""^Trường\s*"","""")"),"THPT Quảng Xương 4")</f>
        <v>THPT Quảng Xương 4</v>
      </c>
    </row>
    <row r="1429">
      <c r="A1429" s="19" t="s">
        <v>1252</v>
      </c>
      <c r="B1429" s="20" t="s">
        <v>1345</v>
      </c>
      <c r="C1429" s="19" t="s">
        <v>1348</v>
      </c>
      <c r="E1429" s="2" t="str">
        <f>IFERROR(__xludf.DUMMYFUNCTION("REGEXREPLACE(A1429,""^Trường\s*"","""")"),"THPT Hậu Lộc 3")</f>
        <v>THPT Hậu Lộc 3</v>
      </c>
    </row>
    <row r="1430">
      <c r="A1430" s="19" t="s">
        <v>1353</v>
      </c>
      <c r="B1430" s="20" t="s">
        <v>1356</v>
      </c>
      <c r="C1430" s="19" t="s">
        <v>58</v>
      </c>
      <c r="E1430" s="2" t="str">
        <f>IFERROR(__xludf.DUMMYFUNCTION("REGEXREPLACE(A1430,""^Trường\s*"","""")"),"THPT Triệu Sơn 1")</f>
        <v>THPT Triệu Sơn 1</v>
      </c>
    </row>
    <row r="1431">
      <c r="A1431" s="19" t="s">
        <v>55</v>
      </c>
      <c r="B1431" s="20" t="s">
        <v>57</v>
      </c>
      <c r="C1431" s="19" t="s">
        <v>58</v>
      </c>
      <c r="E1431" s="2" t="str">
        <f>IFERROR(__xludf.DUMMYFUNCTION("REGEXREPLACE(A1431,""^Trường\s*"","""")"),"Phổ thông Triệu Sơn")</f>
        <v>Phổ thông Triệu Sơn</v>
      </c>
    </row>
    <row r="1432">
      <c r="A1432" s="19" t="s">
        <v>1366</v>
      </c>
      <c r="B1432" s="21" t="s">
        <v>1368</v>
      </c>
      <c r="C1432" s="22" t="s">
        <v>58</v>
      </c>
      <c r="E1432" s="2" t="str">
        <f>IFERROR(__xludf.DUMMYFUNCTION("REGEXREPLACE(A1432,""^Trường\s*"","""")"),"Trung tâm GDNN-GDTX huyện Triệu Sơn")</f>
        <v>Trung tâm GDNN-GDTX huyện Triệu Sơn</v>
      </c>
    </row>
    <row r="1433">
      <c r="A1433" s="19" t="s">
        <v>1373</v>
      </c>
      <c r="B1433" s="21" t="s">
        <v>1376</v>
      </c>
      <c r="C1433" s="22" t="s">
        <v>58</v>
      </c>
      <c r="E1433" s="2" t="str">
        <f>IFERROR(__xludf.DUMMYFUNCTION("REGEXREPLACE(A1433,""^Trường\s*"","""")"),"CĐ Nông nghiệp Thanh Hóa")</f>
        <v>CĐ Nông nghiệp Thanh Hóa</v>
      </c>
    </row>
    <row r="1434">
      <c r="A1434" s="19" t="s">
        <v>1380</v>
      </c>
      <c r="B1434" s="20" t="s">
        <v>1382</v>
      </c>
      <c r="C1434" s="19" t="s">
        <v>1384</v>
      </c>
      <c r="E1434" s="2" t="str">
        <f>IFERROR(__xludf.DUMMYFUNCTION("REGEXREPLACE(A1434,""^Trường\s*"","""")"),"THPT Nông Cống")</f>
        <v>THPT Nông Cống</v>
      </c>
    </row>
    <row r="1435">
      <c r="A1435" s="19" t="s">
        <v>1388</v>
      </c>
      <c r="B1435" s="20" t="s">
        <v>1391</v>
      </c>
      <c r="C1435" s="19" t="s">
        <v>1392</v>
      </c>
      <c r="E1435" s="2" t="str">
        <f>IFERROR(__xludf.DUMMYFUNCTION("REGEXREPLACE(A1435,""^Trường\s*"","""")"),"THPT Nông Cống 4")</f>
        <v>THPT Nông Cống 4</v>
      </c>
    </row>
    <row r="1436">
      <c r="A1436" s="19" t="s">
        <v>1396</v>
      </c>
      <c r="B1436" s="20" t="s">
        <v>1399</v>
      </c>
      <c r="C1436" s="19" t="s">
        <v>1283</v>
      </c>
      <c r="E1436" s="2" t="str">
        <f>IFERROR(__xludf.DUMMYFUNCTION("REGEXREPLACE(A1436,""^Trường\s*"","""")"),"THPT Thạch Thành 3")</f>
        <v>THPT Thạch Thành 3</v>
      </c>
    </row>
    <row r="1437">
      <c r="A1437" s="19" t="s">
        <v>1405</v>
      </c>
      <c r="B1437" s="20" t="s">
        <v>1408</v>
      </c>
      <c r="C1437" s="19" t="s">
        <v>1410</v>
      </c>
      <c r="E1437" s="2" t="str">
        <f>IFERROR(__xludf.DUMMYFUNCTION("REGEXREPLACE(A1437,""^Trường\s*"","""")"),"THPT Hậu Lộc 4")</f>
        <v>THPT Hậu Lộc 4</v>
      </c>
    </row>
    <row r="1438">
      <c r="A1438" s="19" t="s">
        <v>1414</v>
      </c>
      <c r="B1438" s="20" t="s">
        <v>1417</v>
      </c>
      <c r="C1438" s="19" t="s">
        <v>1419</v>
      </c>
      <c r="E1438" s="2" t="str">
        <f>IFERROR(__xludf.DUMMYFUNCTION("REGEXREPLACE(A1438,""^Trường\s*"","""")"),"THPT Thường Xuân 3")</f>
        <v>THPT Thường Xuân 3</v>
      </c>
    </row>
    <row r="1439">
      <c r="A1439" s="19" t="s">
        <v>1422</v>
      </c>
      <c r="B1439" s="20" t="s">
        <v>1424</v>
      </c>
      <c r="C1439" s="19" t="s">
        <v>1407</v>
      </c>
      <c r="E1439" s="2" t="str">
        <f>IFERROR(__xludf.DUMMYFUNCTION("REGEXREPLACE(A1439,""^Trường\s*"","""")"),"THPT Vĩnh Lộc")</f>
        <v>THPT Vĩnh Lộc</v>
      </c>
    </row>
    <row r="1440">
      <c r="A1440" s="19" t="s">
        <v>1426</v>
      </c>
      <c r="B1440" s="21" t="s">
        <v>1427</v>
      </c>
      <c r="C1440" s="22" t="s">
        <v>1407</v>
      </c>
      <c r="E1440" s="2" t="str">
        <f>IFERROR(__xludf.DUMMYFUNCTION("REGEXREPLACE(A1440,""^Trường\s*"","""")"),"Trung tâm GDNN - GDTX Vĩnh Lộc")</f>
        <v>Trung tâm GDNN - GDTX Vĩnh Lộc</v>
      </c>
    </row>
    <row r="1441">
      <c r="A1441" s="19" t="s">
        <v>1431</v>
      </c>
      <c r="B1441" s="20" t="s">
        <v>1433</v>
      </c>
      <c r="C1441" s="19" t="s">
        <v>1435</v>
      </c>
      <c r="E1441" s="2" t="str">
        <f>IFERROR(__xludf.DUMMYFUNCTION("REGEXREPLACE(A1441,""^Trường\s*"","""")"),"THPT Như Xuân 2")</f>
        <v>THPT Như Xuân 2</v>
      </c>
    </row>
    <row r="1442">
      <c r="A1442" s="19" t="s">
        <v>59</v>
      </c>
      <c r="B1442" s="20" t="s">
        <v>1437</v>
      </c>
      <c r="C1442" s="19" t="s">
        <v>63</v>
      </c>
      <c r="E1442" s="2" t="str">
        <f>IFERROR(__xludf.DUMMYFUNCTION("REGEXREPLACE(A1442,""^Trường\s*"","""")"),"THCS&amp;THPT Như Thanh")</f>
        <v>THCS&amp;THPT Như Thanh</v>
      </c>
    </row>
    <row r="1443">
      <c r="A1443" s="19" t="s">
        <v>1442</v>
      </c>
      <c r="B1443" s="20" t="s">
        <v>1443</v>
      </c>
      <c r="C1443" s="19" t="s">
        <v>1445</v>
      </c>
      <c r="E1443" s="2" t="str">
        <f>IFERROR(__xludf.DUMMYFUNCTION("REGEXREPLACE(A1443,""^Trường\s*"","""")"),"THPT Lê Hoàn")</f>
        <v>THPT Lê Hoàn</v>
      </c>
    </row>
    <row r="1444">
      <c r="A1444" s="19" t="s">
        <v>1449</v>
      </c>
      <c r="B1444" s="20" t="s">
        <v>1451</v>
      </c>
      <c r="C1444" s="19" t="s">
        <v>1452</v>
      </c>
      <c r="E1444" s="2" t="str">
        <f>IFERROR(__xludf.DUMMYFUNCTION("REGEXREPLACE(A1444,""^Trường\s*"","""")"),"THPT Yên Định 1")</f>
        <v>THPT Yên Định 1</v>
      </c>
    </row>
    <row r="1445">
      <c r="A1445" s="19" t="s">
        <v>1455</v>
      </c>
      <c r="B1445" s="20" t="s">
        <v>1456</v>
      </c>
      <c r="C1445" s="19" t="s">
        <v>1452</v>
      </c>
      <c r="E1445" s="2" t="str">
        <f>IFERROR(__xludf.DUMMYFUNCTION("REGEXREPLACE(A1445,""^Trường\s*"","""")"),"TH,THCS&amp;THPT Nobel School VIII")</f>
        <v>TH,THCS&amp;THPT Nobel School VIII</v>
      </c>
    </row>
    <row r="1446">
      <c r="A1446" s="19" t="s">
        <v>1460</v>
      </c>
      <c r="B1446" s="21" t="s">
        <v>1462</v>
      </c>
      <c r="C1446" s="22" t="s">
        <v>1452</v>
      </c>
      <c r="E1446" s="2" t="str">
        <f>IFERROR(__xludf.DUMMYFUNCTION("REGEXREPLACE(A1446,""^Trường\s*"","""")"),"Trung tâm GDNN-GDTX Yên Định")</f>
        <v>Trung tâm GDNN-GDTX Yên Định</v>
      </c>
    </row>
    <row r="1447">
      <c r="A1447" s="19" t="s">
        <v>1464</v>
      </c>
      <c r="B1447" s="20" t="s">
        <v>1466</v>
      </c>
      <c r="C1447" s="19" t="s">
        <v>32</v>
      </c>
      <c r="E1447" s="2" t="str">
        <f>IFERROR(__xludf.DUMMYFUNCTION("REGEXREPLACE(A1447,""^Trường\s*"","""")"),"THPT Yên Định 3")</f>
        <v>THPT Yên Định 3</v>
      </c>
    </row>
    <row r="1448">
      <c r="A1448" s="19" t="s">
        <v>28</v>
      </c>
      <c r="B1448" s="20" t="s">
        <v>30</v>
      </c>
      <c r="C1448" s="19" t="s">
        <v>32</v>
      </c>
      <c r="E1448" s="2" t="str">
        <f>IFERROR(__xludf.DUMMYFUNCTION("REGEXREPLACE(A1448,""^Trường\s*"","""")"),"THCS&amp;THPT Thống nhất")</f>
        <v>THCS&amp;THPT Thống nhất</v>
      </c>
    </row>
    <row r="1449">
      <c r="A1449" s="19" t="s">
        <v>1474</v>
      </c>
      <c r="B1449" s="20" t="s">
        <v>1477</v>
      </c>
      <c r="C1449" s="19" t="s">
        <v>1479</v>
      </c>
      <c r="E1449" s="2" t="str">
        <f>IFERROR(__xludf.DUMMYFUNCTION("REGEXREPLACE(A1449,""^Trường\s*"","""")"),"THPT Yên Định 2")</f>
        <v>THPT Yên Định 2</v>
      </c>
    </row>
    <row r="1450">
      <c r="A1450" s="19"/>
      <c r="B1450" s="20">
        <f>IFERROR(__xludf.DUMMYFUNCTION("COUNTUNIQUE(B2:B1449)"),1343.0)</f>
        <v>1343</v>
      </c>
      <c r="C1450" s="19"/>
      <c r="E1450" s="20">
        <f>IFERROR(__xludf.DUMMYFUNCTION("COUNTUNIQUE(E2:E1449)"),1310.0)</f>
        <v>1310</v>
      </c>
    </row>
  </sheetData>
  <autoFilter ref="$A$1:$Z$145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1" t="s">
        <v>31</v>
      </c>
      <c r="B1" s="3" t="s">
        <v>2965</v>
      </c>
      <c r="C1" s="3" t="s">
        <v>2966</v>
      </c>
      <c r="E1" s="1" t="s">
        <v>31</v>
      </c>
    </row>
    <row r="2">
      <c r="A2" s="1" t="s">
        <v>56</v>
      </c>
      <c r="E2" s="1" t="s">
        <v>56</v>
      </c>
    </row>
    <row r="3">
      <c r="A3" s="1" t="s">
        <v>73</v>
      </c>
      <c r="E3" s="1" t="s">
        <v>73</v>
      </c>
    </row>
    <row r="4">
      <c r="A4" s="1" t="s">
        <v>17</v>
      </c>
      <c r="E4" s="1" t="s">
        <v>17</v>
      </c>
    </row>
    <row r="5">
      <c r="A5" s="1" t="s">
        <v>135</v>
      </c>
      <c r="E5" s="1" t="s">
        <v>135</v>
      </c>
    </row>
    <row r="6">
      <c r="A6" s="1" t="s">
        <v>13</v>
      </c>
      <c r="E6" s="1" t="s">
        <v>13</v>
      </c>
    </row>
    <row r="7">
      <c r="A7" s="1" t="s">
        <v>231</v>
      </c>
      <c r="E7" s="1" t="s">
        <v>231</v>
      </c>
    </row>
    <row r="8">
      <c r="A8" s="1" t="s">
        <v>246</v>
      </c>
      <c r="E8" s="1" t="s">
        <v>246</v>
      </c>
    </row>
    <row r="9">
      <c r="A9" s="1" t="s">
        <v>100</v>
      </c>
      <c r="E9" s="1" t="s">
        <v>100</v>
      </c>
    </row>
    <row r="10">
      <c r="A10" s="1" t="s">
        <v>283</v>
      </c>
      <c r="E10" s="1" t="s">
        <v>283</v>
      </c>
    </row>
    <row r="11">
      <c r="A11" s="1" t="s">
        <v>45</v>
      </c>
      <c r="E11" s="1" t="s">
        <v>45</v>
      </c>
    </row>
    <row r="12">
      <c r="A12" s="1" t="s">
        <v>320</v>
      </c>
      <c r="E12" s="1" t="s">
        <v>320</v>
      </c>
    </row>
    <row r="13">
      <c r="A13" s="1" t="s">
        <v>342</v>
      </c>
      <c r="E13" s="1" t="s">
        <v>342</v>
      </c>
    </row>
    <row r="14">
      <c r="A14" s="1" t="s">
        <v>24</v>
      </c>
      <c r="E14" s="1" t="s">
        <v>24</v>
      </c>
    </row>
    <row r="15">
      <c r="A15" s="1" t="s">
        <v>203</v>
      </c>
      <c r="E15" s="1" t="s">
        <v>203</v>
      </c>
    </row>
    <row r="16">
      <c r="A16" s="1" t="s">
        <v>238</v>
      </c>
      <c r="E16" s="1" t="s">
        <v>238</v>
      </c>
    </row>
    <row r="17">
      <c r="A17" s="1" t="s">
        <v>460</v>
      </c>
      <c r="E17" s="1" t="s">
        <v>460</v>
      </c>
    </row>
    <row r="18">
      <c r="A18" s="1" t="s">
        <v>475</v>
      </c>
      <c r="E18" s="1" t="s">
        <v>475</v>
      </c>
    </row>
    <row r="19">
      <c r="A19" s="1" t="s">
        <v>508</v>
      </c>
      <c r="E19" s="1" t="s">
        <v>508</v>
      </c>
    </row>
    <row r="20">
      <c r="A20" s="1" t="s">
        <v>524</v>
      </c>
      <c r="E20" s="1" t="s">
        <v>524</v>
      </c>
    </row>
    <row r="21">
      <c r="A21" s="1" t="s">
        <v>536</v>
      </c>
      <c r="E21" s="1" t="s">
        <v>536</v>
      </c>
    </row>
    <row r="22">
      <c r="A22" s="1" t="s">
        <v>550</v>
      </c>
      <c r="E22" s="1" t="s">
        <v>550</v>
      </c>
    </row>
    <row r="23">
      <c r="A23" s="1" t="s">
        <v>585</v>
      </c>
      <c r="E23" s="1" t="s">
        <v>585</v>
      </c>
    </row>
    <row r="24">
      <c r="A24" s="1" t="s">
        <v>619</v>
      </c>
      <c r="E24" s="1" t="s">
        <v>619</v>
      </c>
    </row>
    <row r="25">
      <c r="A25" s="1" t="s">
        <v>650</v>
      </c>
      <c r="E25" s="1" t="s">
        <v>650</v>
      </c>
    </row>
    <row r="26">
      <c r="A26" s="1" t="s">
        <v>642</v>
      </c>
      <c r="E26" s="1" t="s">
        <v>642</v>
      </c>
    </row>
    <row r="27">
      <c r="A27" s="1" t="s">
        <v>652</v>
      </c>
      <c r="E27" s="1" t="s">
        <v>652</v>
      </c>
    </row>
    <row r="28">
      <c r="A28" s="1" t="s">
        <v>663</v>
      </c>
      <c r="E28" s="1" t="s">
        <v>663</v>
      </c>
    </row>
    <row r="29">
      <c r="A29" s="1" t="s">
        <v>754</v>
      </c>
      <c r="E29" s="1" t="s">
        <v>754</v>
      </c>
    </row>
    <row r="30">
      <c r="A30" s="1" t="s">
        <v>774</v>
      </c>
      <c r="E30" s="1" t="s">
        <v>774</v>
      </c>
    </row>
    <row r="31">
      <c r="A31" s="1" t="s">
        <v>474</v>
      </c>
      <c r="E31" s="1" t="s">
        <v>474</v>
      </c>
    </row>
    <row r="32">
      <c r="A32" s="1" t="s">
        <v>679</v>
      </c>
      <c r="E32" s="1" t="s">
        <v>679</v>
      </c>
    </row>
    <row r="33">
      <c r="A33" s="1" t="s">
        <v>509</v>
      </c>
      <c r="E33" s="1" t="s">
        <v>509</v>
      </c>
    </row>
    <row r="34">
      <c r="A34" s="1" t="s">
        <v>448</v>
      </c>
      <c r="E34" s="1" t="s">
        <v>448</v>
      </c>
    </row>
    <row r="35">
      <c r="A35" s="1" t="s">
        <v>864</v>
      </c>
      <c r="E35" s="1" t="s">
        <v>864</v>
      </c>
    </row>
    <row r="36">
      <c r="A36" s="1" t="s">
        <v>883</v>
      </c>
      <c r="E36" s="1" t="s">
        <v>883</v>
      </c>
    </row>
    <row r="37">
      <c r="A37" s="1" t="s">
        <v>735</v>
      </c>
      <c r="E37" s="1" t="s">
        <v>735</v>
      </c>
    </row>
    <row r="38">
      <c r="A38" s="1" t="s">
        <v>909</v>
      </c>
      <c r="E38" s="1" t="s">
        <v>909</v>
      </c>
    </row>
    <row r="39">
      <c r="A39" s="1" t="s">
        <v>695</v>
      </c>
      <c r="E39" s="1" t="s">
        <v>695</v>
      </c>
    </row>
    <row r="40">
      <c r="A40" s="1" t="s">
        <v>758</v>
      </c>
      <c r="E40" s="1" t="s">
        <v>758</v>
      </c>
    </row>
    <row r="41">
      <c r="A41" s="1" t="s">
        <v>948</v>
      </c>
      <c r="E41" s="1" t="s">
        <v>948</v>
      </c>
    </row>
    <row r="42">
      <c r="A42" s="1" t="s">
        <v>703</v>
      </c>
      <c r="E42" s="1" t="s">
        <v>703</v>
      </c>
    </row>
    <row r="43">
      <c r="A43" s="1" t="s">
        <v>716</v>
      </c>
      <c r="E43" s="1" t="s">
        <v>716</v>
      </c>
    </row>
    <row r="44">
      <c r="A44" s="1" t="s">
        <v>363</v>
      </c>
      <c r="E44" s="1" t="s">
        <v>363</v>
      </c>
    </row>
    <row r="45">
      <c r="A45" s="1" t="s">
        <v>729</v>
      </c>
      <c r="E45" s="1" t="s">
        <v>729</v>
      </c>
    </row>
    <row r="46">
      <c r="A46" s="1" t="s">
        <v>738</v>
      </c>
      <c r="E46" s="1" t="s">
        <v>738</v>
      </c>
    </row>
    <row r="47">
      <c r="A47" s="1" t="s">
        <v>1076</v>
      </c>
      <c r="E47" s="1" t="s">
        <v>1076</v>
      </c>
    </row>
    <row r="48">
      <c r="A48" s="1" t="s">
        <v>1089</v>
      </c>
      <c r="E48" s="1" t="s">
        <v>1089</v>
      </c>
    </row>
    <row r="49">
      <c r="A49" s="1" t="s">
        <v>1109</v>
      </c>
      <c r="E49" s="1" t="s">
        <v>1109</v>
      </c>
    </row>
    <row r="50">
      <c r="A50" s="1" t="s">
        <v>10</v>
      </c>
      <c r="E50" s="1" t="s">
        <v>10</v>
      </c>
    </row>
    <row r="51">
      <c r="A51" s="1" t="s">
        <v>762</v>
      </c>
      <c r="E51" s="1" t="s">
        <v>762</v>
      </c>
    </row>
    <row r="52">
      <c r="A52" s="1" t="s">
        <v>773</v>
      </c>
      <c r="E52" s="1" t="s">
        <v>773</v>
      </c>
    </row>
    <row r="53">
      <c r="A53" s="1" t="s">
        <v>1215</v>
      </c>
      <c r="E53" s="1" t="s">
        <v>1215</v>
      </c>
    </row>
    <row r="54">
      <c r="A54" s="1" t="s">
        <v>781</v>
      </c>
      <c r="E54" s="1" t="s">
        <v>781</v>
      </c>
    </row>
    <row r="55">
      <c r="A55" s="1" t="s">
        <v>1343</v>
      </c>
      <c r="E55" s="1" t="s">
        <v>1343</v>
      </c>
    </row>
    <row r="56">
      <c r="A56" s="1" t="s">
        <v>795</v>
      </c>
      <c r="E56" s="1" t="s">
        <v>795</v>
      </c>
    </row>
    <row r="57">
      <c r="A57" s="1" t="s">
        <v>386</v>
      </c>
      <c r="E57" s="1" t="s">
        <v>386</v>
      </c>
    </row>
    <row r="58">
      <c r="A58" s="1" t="s">
        <v>816</v>
      </c>
      <c r="E58" s="1" t="s">
        <v>816</v>
      </c>
    </row>
    <row r="59">
      <c r="A59" s="1" t="s">
        <v>824</v>
      </c>
      <c r="E59" s="1" t="s">
        <v>824</v>
      </c>
    </row>
    <row r="60">
      <c r="A60" s="1" t="s">
        <v>830</v>
      </c>
      <c r="E60" s="1" t="s">
        <v>830</v>
      </c>
    </row>
    <row r="61">
      <c r="A61" s="1" t="s">
        <v>847</v>
      </c>
      <c r="E61" s="1" t="s">
        <v>847</v>
      </c>
    </row>
    <row r="62">
      <c r="A62" s="1" t="s">
        <v>726</v>
      </c>
      <c r="E62" s="1" t="s">
        <v>726</v>
      </c>
    </row>
    <row r="63">
      <c r="A63" s="1" t="s">
        <v>1321</v>
      </c>
      <c r="E63" s="1" t="s">
        <v>1321</v>
      </c>
    </row>
    <row r="64">
      <c r="A64" s="1" t="s">
        <v>879</v>
      </c>
      <c r="E64" s="1" t="s">
        <v>879</v>
      </c>
    </row>
    <row r="65">
      <c r="A65" s="1" t="s">
        <v>1512</v>
      </c>
      <c r="E65" s="1" t="s">
        <v>1512</v>
      </c>
    </row>
    <row r="66">
      <c r="A66" s="1" t="s">
        <v>21</v>
      </c>
      <c r="E66" s="1" t="s">
        <v>21</v>
      </c>
    </row>
    <row r="67">
      <c r="A67" s="1" t="s">
        <v>1545</v>
      </c>
      <c r="E67" s="1" t="s">
        <v>1545</v>
      </c>
    </row>
    <row r="68">
      <c r="A68" s="1" t="s">
        <v>852</v>
      </c>
      <c r="E68" s="1" t="s">
        <v>852</v>
      </c>
    </row>
    <row r="69">
      <c r="A69" s="1" t="s">
        <v>302</v>
      </c>
      <c r="E69" s="1" t="s">
        <v>302</v>
      </c>
    </row>
    <row r="70">
      <c r="A70" s="1" t="s">
        <v>268</v>
      </c>
      <c r="E70" s="1" t="s">
        <v>268</v>
      </c>
    </row>
    <row r="71">
      <c r="A71" s="1" t="s">
        <v>318</v>
      </c>
      <c r="E71" s="1" t="s">
        <v>318</v>
      </c>
    </row>
    <row r="72">
      <c r="A72" s="1" t="s">
        <v>52</v>
      </c>
      <c r="E72" s="1" t="s">
        <v>52</v>
      </c>
    </row>
    <row r="73">
      <c r="A73" s="1" t="s">
        <v>710</v>
      </c>
      <c r="E73" s="1" t="s">
        <v>710</v>
      </c>
    </row>
    <row r="74">
      <c r="A74" s="1" t="s">
        <v>354</v>
      </c>
      <c r="E74" s="1" t="s">
        <v>354</v>
      </c>
    </row>
    <row r="75">
      <c r="A75" s="1" t="s">
        <v>1606</v>
      </c>
      <c r="E75" s="1" t="s">
        <v>1606</v>
      </c>
    </row>
    <row r="76">
      <c r="A76" s="1" t="s">
        <v>944</v>
      </c>
      <c r="E76" s="1" t="s">
        <v>944</v>
      </c>
    </row>
    <row r="77">
      <c r="A77" s="1" t="s">
        <v>1647</v>
      </c>
      <c r="E77" s="1" t="s">
        <v>1647</v>
      </c>
    </row>
    <row r="78">
      <c r="A78" s="1" t="s">
        <v>843</v>
      </c>
      <c r="E78" s="1" t="s">
        <v>843</v>
      </c>
    </row>
    <row r="79">
      <c r="A79" s="1" t="s">
        <v>836</v>
      </c>
      <c r="E79" s="1" t="s">
        <v>836</v>
      </c>
    </row>
    <row r="80">
      <c r="A80" s="1" t="s">
        <v>1272</v>
      </c>
      <c r="E80" s="1" t="s">
        <v>1272</v>
      </c>
    </row>
    <row r="81">
      <c r="A81" s="1" t="s">
        <v>861</v>
      </c>
      <c r="E81" s="1" t="s">
        <v>861</v>
      </c>
    </row>
    <row r="82">
      <c r="A82" s="1" t="s">
        <v>325</v>
      </c>
      <c r="E82" s="1" t="s">
        <v>325</v>
      </c>
    </row>
    <row r="83">
      <c r="A83" s="1" t="s">
        <v>998</v>
      </c>
      <c r="E83" s="1" t="s">
        <v>998</v>
      </c>
    </row>
    <row r="84">
      <c r="A84" s="1" t="s">
        <v>1014</v>
      </c>
      <c r="E84" s="1" t="s">
        <v>1014</v>
      </c>
    </row>
    <row r="85">
      <c r="A85" s="1" t="s">
        <v>1025</v>
      </c>
      <c r="E85" s="1" t="s">
        <v>1025</v>
      </c>
    </row>
    <row r="86">
      <c r="A86" s="1" t="s">
        <v>346</v>
      </c>
      <c r="E86" s="1" t="s">
        <v>346</v>
      </c>
    </row>
    <row r="87">
      <c r="A87" s="1" t="s">
        <v>421</v>
      </c>
      <c r="E87" s="1" t="s">
        <v>421</v>
      </c>
    </row>
    <row r="88">
      <c r="A88" s="1" t="s">
        <v>38</v>
      </c>
      <c r="E88" s="1" t="s">
        <v>38</v>
      </c>
    </row>
    <row r="89">
      <c r="A89" s="1" t="s">
        <v>273</v>
      </c>
      <c r="E89" s="1" t="s">
        <v>273</v>
      </c>
    </row>
    <row r="90">
      <c r="A90" s="1" t="s">
        <v>621</v>
      </c>
      <c r="E90" s="1" t="s">
        <v>621</v>
      </c>
    </row>
    <row r="91">
      <c r="A91" s="1" t="s">
        <v>1049</v>
      </c>
      <c r="E91" s="1" t="s">
        <v>1049</v>
      </c>
    </row>
    <row r="92">
      <c r="A92" s="1" t="s">
        <v>296</v>
      </c>
      <c r="E92" s="1" t="s">
        <v>296</v>
      </c>
    </row>
    <row r="93">
      <c r="A93" s="1" t="s">
        <v>1851</v>
      </c>
      <c r="E93" s="1" t="s">
        <v>1851</v>
      </c>
    </row>
    <row r="94">
      <c r="A94" s="1" t="s">
        <v>1057</v>
      </c>
      <c r="E94" s="1" t="s">
        <v>1057</v>
      </c>
    </row>
    <row r="95">
      <c r="A95" s="1" t="s">
        <v>1066</v>
      </c>
      <c r="E95" s="1" t="s">
        <v>1066</v>
      </c>
    </row>
    <row r="96">
      <c r="A96" s="1" t="s">
        <v>1891</v>
      </c>
      <c r="E96" s="1" t="s">
        <v>1891</v>
      </c>
    </row>
    <row r="97">
      <c r="A97" s="1" t="s">
        <v>1493</v>
      </c>
      <c r="E97" s="1" t="s">
        <v>1493</v>
      </c>
    </row>
    <row r="98">
      <c r="A98" s="1" t="s">
        <v>516</v>
      </c>
      <c r="E98" s="1" t="s">
        <v>516</v>
      </c>
    </row>
    <row r="99">
      <c r="A99" s="1" t="s">
        <v>1656</v>
      </c>
      <c r="E99" s="1" t="s">
        <v>1656</v>
      </c>
    </row>
    <row r="100">
      <c r="A100" s="1" t="s">
        <v>684</v>
      </c>
      <c r="E100" s="1" t="s">
        <v>684</v>
      </c>
    </row>
    <row r="101">
      <c r="A101" s="1" t="s">
        <v>693</v>
      </c>
      <c r="E101" s="1" t="s">
        <v>693</v>
      </c>
    </row>
    <row r="102">
      <c r="A102" s="1" t="s">
        <v>282</v>
      </c>
      <c r="E102" s="1" t="s">
        <v>282</v>
      </c>
    </row>
    <row r="103">
      <c r="A103" s="1" t="s">
        <v>661</v>
      </c>
      <c r="E103" s="1" t="s">
        <v>661</v>
      </c>
    </row>
    <row r="104">
      <c r="A104" s="1" t="s">
        <v>675</v>
      </c>
      <c r="E104" s="1" t="s">
        <v>675</v>
      </c>
    </row>
    <row r="105">
      <c r="A105" s="1" t="s">
        <v>1074</v>
      </c>
      <c r="E105" s="1" t="s">
        <v>1074</v>
      </c>
    </row>
    <row r="106">
      <c r="A106" s="1" t="s">
        <v>1809</v>
      </c>
      <c r="E106" s="1" t="s">
        <v>1809</v>
      </c>
    </row>
    <row r="107">
      <c r="A107" s="1" t="s">
        <v>1993</v>
      </c>
      <c r="E107" s="1" t="s">
        <v>1993</v>
      </c>
    </row>
    <row r="108">
      <c r="A108" s="1" t="s">
        <v>1369</v>
      </c>
      <c r="E108" s="1" t="s">
        <v>1369</v>
      </c>
    </row>
    <row r="109">
      <c r="A109" s="1" t="s">
        <v>1084</v>
      </c>
      <c r="E109" s="1" t="s">
        <v>1084</v>
      </c>
    </row>
    <row r="110">
      <c r="A110" s="1" t="s">
        <v>869</v>
      </c>
      <c r="E110" s="1" t="s">
        <v>869</v>
      </c>
    </row>
    <row r="111">
      <c r="A111" s="1" t="s">
        <v>1098</v>
      </c>
      <c r="E111" s="1" t="s">
        <v>1098</v>
      </c>
    </row>
    <row r="112">
      <c r="A112" s="1" t="s">
        <v>2086</v>
      </c>
      <c r="E112" s="1" t="s">
        <v>2086</v>
      </c>
    </row>
    <row r="113">
      <c r="A113" s="1" t="s">
        <v>1776</v>
      </c>
      <c r="E113" s="1" t="s">
        <v>1776</v>
      </c>
    </row>
    <row r="114">
      <c r="A114" s="1" t="s">
        <v>1107</v>
      </c>
      <c r="E114" s="1" t="s">
        <v>1107</v>
      </c>
    </row>
    <row r="115">
      <c r="A115" s="1" t="s">
        <v>1116</v>
      </c>
      <c r="E115" s="1" t="s">
        <v>1116</v>
      </c>
    </row>
    <row r="116">
      <c r="A116" s="1" t="s">
        <v>2139</v>
      </c>
      <c r="E116" s="1" t="s">
        <v>2139</v>
      </c>
    </row>
    <row r="117">
      <c r="A117" s="1" t="s">
        <v>67</v>
      </c>
      <c r="E117" s="1" t="s">
        <v>67</v>
      </c>
    </row>
    <row r="118">
      <c r="A118" s="1" t="s">
        <v>1256</v>
      </c>
      <c r="E118" s="1" t="s">
        <v>1256</v>
      </c>
    </row>
    <row r="119">
      <c r="A119" s="1" t="s">
        <v>378</v>
      </c>
      <c r="E119" s="1" t="s">
        <v>378</v>
      </c>
    </row>
    <row r="120">
      <c r="A120" s="1" t="s">
        <v>499</v>
      </c>
      <c r="E120" s="1" t="s">
        <v>499</v>
      </c>
    </row>
    <row r="121">
      <c r="A121" s="1" t="s">
        <v>7</v>
      </c>
      <c r="E121" s="1" t="s">
        <v>7</v>
      </c>
    </row>
    <row r="122">
      <c r="A122" s="1" t="s">
        <v>1181</v>
      </c>
      <c r="E122" s="1" t="s">
        <v>1181</v>
      </c>
    </row>
    <row r="123">
      <c r="A123" s="1" t="s">
        <v>2039</v>
      </c>
      <c r="E123" s="1" t="s">
        <v>2039</v>
      </c>
    </row>
    <row r="124">
      <c r="A124" s="1" t="s">
        <v>2107</v>
      </c>
      <c r="E124" s="1" t="s">
        <v>2107</v>
      </c>
    </row>
    <row r="125">
      <c r="A125" s="1" t="s">
        <v>1190</v>
      </c>
      <c r="E125" s="1" t="s">
        <v>1190</v>
      </c>
    </row>
    <row r="126">
      <c r="A126" s="1" t="s">
        <v>2006</v>
      </c>
      <c r="E126" s="1" t="s">
        <v>2006</v>
      </c>
    </row>
    <row r="127">
      <c r="A127" s="1" t="s">
        <v>1199</v>
      </c>
      <c r="E127" s="1" t="s">
        <v>1199</v>
      </c>
    </row>
    <row r="128">
      <c r="A128" s="1" t="s">
        <v>1640</v>
      </c>
      <c r="E128" s="1" t="s">
        <v>1640</v>
      </c>
    </row>
    <row r="129">
      <c r="A129" s="1" t="s">
        <v>1875</v>
      </c>
      <c r="E129" s="1" t="s">
        <v>1875</v>
      </c>
    </row>
    <row r="130">
      <c r="A130" s="1" t="s">
        <v>1208</v>
      </c>
      <c r="E130" s="1" t="s">
        <v>1208</v>
      </c>
    </row>
    <row r="131">
      <c r="A131" s="1" t="s">
        <v>1217</v>
      </c>
      <c r="E131" s="1" t="s">
        <v>1217</v>
      </c>
    </row>
    <row r="132">
      <c r="A132" s="1" t="s">
        <v>2345</v>
      </c>
      <c r="E132" s="1" t="s">
        <v>2345</v>
      </c>
    </row>
    <row r="133">
      <c r="A133" s="1" t="s">
        <v>1233</v>
      </c>
      <c r="E133" s="1" t="s">
        <v>1233</v>
      </c>
    </row>
    <row r="134">
      <c r="A134" s="1" t="s">
        <v>1248</v>
      </c>
      <c r="E134" s="1" t="s">
        <v>1248</v>
      </c>
    </row>
    <row r="135">
      <c r="A135" s="1" t="s">
        <v>1310</v>
      </c>
      <c r="E135" s="1" t="s">
        <v>1310</v>
      </c>
    </row>
    <row r="136">
      <c r="A136" s="1" t="s">
        <v>1348</v>
      </c>
      <c r="E136" s="1" t="s">
        <v>1348</v>
      </c>
    </row>
    <row r="137">
      <c r="A137" s="1" t="s">
        <v>58</v>
      </c>
      <c r="E137" s="1" t="s">
        <v>58</v>
      </c>
    </row>
    <row r="138">
      <c r="A138" s="1" t="s">
        <v>1384</v>
      </c>
      <c r="E138" s="1" t="s">
        <v>1384</v>
      </c>
    </row>
    <row r="139">
      <c r="A139" s="1" t="s">
        <v>628</v>
      </c>
      <c r="E139" s="1" t="s">
        <v>628</v>
      </c>
    </row>
    <row r="140">
      <c r="A140" s="1" t="s">
        <v>310</v>
      </c>
      <c r="E140" s="1" t="s">
        <v>310</v>
      </c>
    </row>
    <row r="141">
      <c r="A141" s="1" t="s">
        <v>435</v>
      </c>
      <c r="E141" s="1" t="s">
        <v>435</v>
      </c>
    </row>
    <row r="142">
      <c r="A142" s="1" t="s">
        <v>338</v>
      </c>
      <c r="E142" s="1" t="s">
        <v>338</v>
      </c>
    </row>
    <row r="143">
      <c r="A143" s="1" t="s">
        <v>2553</v>
      </c>
      <c r="E143" s="1" t="s">
        <v>2553</v>
      </c>
    </row>
    <row r="144">
      <c r="A144" s="1" t="s">
        <v>1392</v>
      </c>
      <c r="E144" s="1" t="s">
        <v>1392</v>
      </c>
    </row>
    <row r="145">
      <c r="A145" s="1" t="s">
        <v>2580</v>
      </c>
      <c r="E145" s="1" t="s">
        <v>2580</v>
      </c>
    </row>
    <row r="146">
      <c r="A146" s="1" t="s">
        <v>1283</v>
      </c>
      <c r="E146" s="1" t="s">
        <v>1283</v>
      </c>
    </row>
    <row r="147">
      <c r="A147" s="1" t="s">
        <v>1410</v>
      </c>
      <c r="E147" s="1" t="s">
        <v>1410</v>
      </c>
    </row>
    <row r="148">
      <c r="A148" s="1" t="s">
        <v>457</v>
      </c>
      <c r="E148" s="1" t="s">
        <v>457</v>
      </c>
    </row>
    <row r="149">
      <c r="A149" s="1" t="s">
        <v>743</v>
      </c>
      <c r="E149" s="1" t="s">
        <v>743</v>
      </c>
    </row>
    <row r="150">
      <c r="A150" s="1" t="s">
        <v>1419</v>
      </c>
      <c r="E150" s="1" t="s">
        <v>1419</v>
      </c>
    </row>
    <row r="151">
      <c r="A151" s="1" t="s">
        <v>1407</v>
      </c>
      <c r="E151" s="1" t="s">
        <v>1407</v>
      </c>
    </row>
    <row r="152">
      <c r="A152" s="1" t="s">
        <v>1435</v>
      </c>
      <c r="E152" s="1" t="s">
        <v>1435</v>
      </c>
    </row>
    <row r="153">
      <c r="A153" s="1" t="s">
        <v>1782</v>
      </c>
      <c r="E153" s="1" t="s">
        <v>1782</v>
      </c>
    </row>
    <row r="154">
      <c r="A154" s="1" t="s">
        <v>63</v>
      </c>
      <c r="E154" s="1" t="s">
        <v>63</v>
      </c>
    </row>
    <row r="155">
      <c r="A155" s="1" t="s">
        <v>1635</v>
      </c>
      <c r="E155" s="1" t="s">
        <v>1635</v>
      </c>
    </row>
    <row r="156">
      <c r="A156" s="1" t="s">
        <v>1445</v>
      </c>
      <c r="E156" s="1" t="s">
        <v>1445</v>
      </c>
    </row>
    <row r="157">
      <c r="A157" s="1" t="s">
        <v>2571</v>
      </c>
      <c r="E157" s="1" t="s">
        <v>2571</v>
      </c>
    </row>
    <row r="158">
      <c r="A158" s="1" t="s">
        <v>1709</v>
      </c>
      <c r="E158" s="1" t="s">
        <v>1709</v>
      </c>
    </row>
    <row r="159">
      <c r="A159" s="1" t="s">
        <v>1452</v>
      </c>
      <c r="E159" s="1" t="s">
        <v>1452</v>
      </c>
    </row>
    <row r="160">
      <c r="A160" s="1" t="s">
        <v>784</v>
      </c>
      <c r="E160" s="1" t="s">
        <v>784</v>
      </c>
    </row>
    <row r="161">
      <c r="A161" s="1" t="s">
        <v>1819</v>
      </c>
      <c r="E161" s="1" t="s">
        <v>1819</v>
      </c>
    </row>
    <row r="162">
      <c r="A162" s="1" t="s">
        <v>1538</v>
      </c>
      <c r="E162" s="1" t="s">
        <v>1538</v>
      </c>
    </row>
    <row r="163">
      <c r="A163" s="1" t="s">
        <v>32</v>
      </c>
      <c r="E163" s="1" t="s">
        <v>32</v>
      </c>
    </row>
    <row r="164">
      <c r="A164" s="1" t="s">
        <v>809</v>
      </c>
      <c r="E164" s="1" t="s">
        <v>809</v>
      </c>
    </row>
    <row r="165">
      <c r="A165" s="1" t="s">
        <v>2547</v>
      </c>
      <c r="E165" s="1" t="s">
        <v>2547</v>
      </c>
    </row>
    <row r="166">
      <c r="A166" s="13" t="s">
        <v>1479</v>
      </c>
      <c r="E166" s="13" t="s">
        <v>1479</v>
      </c>
    </row>
  </sheetData>
  <drawing r:id="rId1"/>
</worksheet>
</file>